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annel Scorecard" sheetId="2" state="visible" r:id="rId2"/>
    <sheet xmlns:r="http://schemas.openxmlformats.org/officeDocument/2006/relationships" name="Funnel &amp; Budget" sheetId="3" state="visible" r:id="rId3"/>
    <sheet xmlns:r="http://schemas.openxmlformats.org/officeDocument/2006/relationships" name="Referral &amp; Compliance" sheetId="4" state="visible" r:id="rId4"/>
    <sheet xmlns:r="http://schemas.openxmlformats.org/officeDocument/2006/relationships" name="90-Day Plan" sheetId="5" state="visible" r:id="rId5"/>
    <sheet xmlns:r="http://schemas.openxmlformats.org/officeDocument/2006/relationships" name="Tooling &amp; Vendor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555555"/>
      <sz val="9"/>
    </font>
    <font>
      <name val="Arial"/>
      <color rgb="001155CC"/>
      <sz val="9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0" fillId="4" borderId="0" pivotButton="0" quotePrefix="0" xfId="0"/>
    <xf numFmtId="9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pivotButton="0" quotePrefix="0" xfId="0"/>
    <xf numFmtId="164" fontId="6" fillId="6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164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9" fontId="6" fillId="6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4" customWidth="1" min="2" max="2"/>
  </cols>
  <sheetData>
    <row r="1" ht="30" customHeight="1">
      <c r="A1" s="1" t="inlineStr">
        <is>
          <t>LCX US · Phase 3 — Waitlist Growth</t>
        </is>
      </c>
    </row>
    <row r="2" ht="16" customHeight="1">
      <c r="A2" s="2" t="inlineStr">
        <is>
          <t>Paid + unpaid growth engine for the LCX US waitlist · 23 Jul 2026 · Confidential — internal</t>
        </is>
      </c>
    </row>
    <row r="4">
      <c r="A4" s="3" t="inlineStr"/>
    </row>
    <row r="5">
      <c r="A5" s="3" t="inlineStr">
        <is>
          <t>Purpose</t>
        </is>
      </c>
      <c r="B5" s="4" t="inlineStr">
        <is>
          <t>Grow the LCX US waitlist (opened 4 July) and convert it to funded accounts at launch, across paid and unpaid channels, inside US crypto-marketing rules.</t>
        </is>
      </c>
    </row>
    <row r="6">
      <c r="A6" s="3" t="inlineStr">
        <is>
          <t>Starting position</t>
        </is>
      </c>
      <c r="B6" s="4" t="inlineStr">
        <is>
          <t>50%+ of LCX.com traffic is already US (a warm base to convert first); a micro-KOL cohort is already sourced (vested + FTC-disclosed); PR runs via blockchainwire. These are the cheapest early wins.</t>
        </is>
      </c>
    </row>
    <row r="7">
      <c r="A7" s="5" t="inlineStr">
        <is>
          <t>Tabs</t>
        </is>
      </c>
    </row>
    <row r="8">
      <c r="A8" s="3" t="inlineStr">
        <is>
          <t xml:space="preserve">  • Channel Scorecard</t>
        </is>
      </c>
      <c r="B8" s="4" t="inlineStr">
        <is>
          <t>Weighted scoring of 12 paid &amp; unpaid channels; priority tiers. Weights (row 4) adjustable.</t>
        </is>
      </c>
    </row>
    <row r="9">
      <c r="A9" s="3" t="inlineStr">
        <is>
          <t xml:space="preserve">  • Funnel &amp; Budget</t>
        </is>
      </c>
      <c r="B9" s="4" t="inlineStr">
        <is>
          <t>Editable model (blue = inputs): budget × CAC → signups → verified → funded, with Lean/Base/Aggressive scenarios.</t>
        </is>
      </c>
    </row>
    <row r="10">
      <c r="A10" s="3" t="inlineStr">
        <is>
          <t xml:space="preserve">  • Referral &amp; Compliance</t>
        </is>
      </c>
      <c r="B10" s="4" t="inlineStr">
        <is>
          <t>The compliant Robinhood-style referral design + the securities/FTC/ad-platform guardrails.</t>
        </is>
      </c>
    </row>
    <row r="11">
      <c r="A11" s="3" t="inlineStr">
        <is>
          <t xml:space="preserve">  • 90-Day Plan</t>
        </is>
      </c>
      <c r="B11" s="4" t="inlineStr">
        <is>
          <t>Week-by-week workstreams and owners.</t>
        </is>
      </c>
    </row>
    <row r="12">
      <c r="A12" s="3" t="inlineStr">
        <is>
          <t xml:space="preserve">  • Tooling &amp; Vendors</t>
        </is>
      </c>
      <c r="B12" s="4" t="inlineStr">
        <is>
          <t>Waitlist/referral software, crypto ad networks, attention/KOL, newsletters, CRM, KYC.</t>
        </is>
      </c>
    </row>
    <row r="13">
      <c r="A13" s="3" t="inlineStr">
        <is>
          <t xml:space="preserve">  • Sources</t>
        </is>
      </c>
      <c r="B13" s="4" t="inlineStr">
        <is>
          <t>Every URL used, numbered.</t>
        </is>
      </c>
    </row>
    <row r="14">
      <c r="A14" s="3" t="inlineStr">
        <is>
          <t>Scoring key</t>
        </is>
      </c>
      <c r="B14" s="4" t="inlineStr">
        <is>
          <t>5=best · 1=weak. Weighted score /5.</t>
        </is>
      </c>
    </row>
    <row r="15">
      <c r="A15" s="3" t="inlineStr">
        <is>
          <t>IMPORTANT</t>
        </is>
      </c>
      <c r="B15" s="4" t="inlineStr">
        <is>
          <t>CAC and conversion figures are PLANNING ASSUMPTIONS from public benchmarks (blue cells) — validate with live data. Compliance items (securities-safe rewards, FTC, ad-platform licensing, state gating) require counsel &amp; compliance sign-off. Not legal advice.</t>
        </is>
      </c>
    </row>
    <row r="16">
      <c r="A16" s="3" t="inlineStr">
        <is>
          <t>Cross-phase dependency</t>
        </is>
      </c>
      <c r="B16" s="4" t="inlineStr">
        <is>
          <t>Paid crypto ads on Google/Meta/X require advertiser certification + a licensed entity — that is gated by Phase 2 (licensing) and the LCX US entity. Channels that DON'T need platform certification (existing base, referral, crypto-native networks, newsletters, KOLs, community, PR, SEO, app pre-registration) can start now.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7" customWidth="1" min="10" max="10"/>
    <col width="13" customWidth="1" min="11" max="11"/>
  </cols>
  <sheetData>
    <row r="1" ht="30" customHeight="1">
      <c r="A1" s="1" t="inlineStr">
        <is>
          <t>Channel Scorecard — paid &amp; unpaid</t>
        </is>
      </c>
    </row>
    <row r="2" ht="16" customHeight="1">
      <c r="A2" s="2" t="inlineStr">
        <is>
          <t>Weighted scoring (1–5). Weights in row 4 adjustable. Sequence: warm/organic first, crypto-native paid next, mainstream paid last (gated by certification).</t>
        </is>
      </c>
    </row>
    <row r="3" ht="54" customHeight="1">
      <c r="A3" s="6" t="inlineStr">
        <is>
          <t>Channel</t>
        </is>
      </c>
      <c r="B3" s="6" t="inlineStr">
        <is>
          <t>Type</t>
        </is>
      </c>
      <c r="C3" s="6" t="inlineStr">
        <is>
          <t>Reach / scale</t>
        </is>
      </c>
      <c r="D3" s="6" t="inlineStr">
        <is>
          <t>CAC efficiency</t>
        </is>
      </c>
      <c r="E3" s="6" t="inlineStr">
        <is>
          <t>Speed to activate</t>
        </is>
      </c>
      <c r="F3" s="6" t="inlineStr">
        <is>
          <t>Compliance ease (start now?)</t>
        </is>
      </c>
      <c r="G3" s="6" t="inlineStr">
        <is>
          <t>Audience fit (US crypto)</t>
        </is>
      </c>
      <c r="H3" s="6" t="inlineStr">
        <is>
          <t>Effort/cost (higher=easier)</t>
        </is>
      </c>
      <c r="I3" s="6" t="inlineStr">
        <is>
          <t>Weighted /5</t>
        </is>
      </c>
      <c r="J3" s="6" t="inlineStr">
        <is>
          <t>Rank</t>
        </is>
      </c>
      <c r="K3" s="6" t="inlineStr">
        <is>
          <t>Tier</t>
        </is>
      </c>
    </row>
    <row r="4">
      <c r="A4" s="7" t="inlineStr">
        <is>
          <t>Weight →</t>
        </is>
      </c>
      <c r="B4" s="8" t="inlineStr"/>
      <c r="C4" s="9" t="n">
        <v>0.18</v>
      </c>
      <c r="D4" s="9" t="n">
        <v>0.22</v>
      </c>
      <c r="E4" s="9" t="n">
        <v>0.15</v>
      </c>
      <c r="F4" s="9" t="n">
        <v>0.15</v>
      </c>
      <c r="G4" s="9" t="n">
        <v>0.15</v>
      </c>
      <c r="H4" s="9" t="n">
        <v>0.15</v>
      </c>
      <c r="I4" s="8" t="inlineStr"/>
      <c r="J4" s="8" t="inlineStr"/>
      <c r="K4" s="8" t="inlineStr"/>
    </row>
    <row r="5">
      <c r="A5" s="10" t="inlineStr">
        <is>
          <t>Existing LCX base (email / on-platform / CRM)</t>
        </is>
      </c>
      <c r="B5" s="11" t="inlineStr">
        <is>
          <t>Unpaid</t>
        </is>
      </c>
      <c r="C5" s="12" t="n">
        <v>4</v>
      </c>
      <c r="D5" s="12" t="n">
        <v>5</v>
      </c>
      <c r="E5" s="12" t="n">
        <v>5</v>
      </c>
      <c r="F5" s="12" t="n">
        <v>5</v>
      </c>
      <c r="G5" s="12" t="n">
        <v>5</v>
      </c>
      <c r="H5" s="12" t="n">
        <v>5</v>
      </c>
      <c r="I5" s="13">
        <f>SUMPRODUCT(C5:H5,$C$4:$H$4)</f>
        <v/>
      </c>
      <c r="J5" s="12">
        <f>RANK(I5,$I$5:$I$16)</f>
        <v/>
      </c>
      <c r="K5" s="12">
        <f>IF(I5&gt;=4,"Tier 1",IF(I5&gt;=3.6,"Tier 2","Tier 3 / later"))</f>
        <v/>
      </c>
    </row>
    <row r="6">
      <c r="A6" s="10" t="inlineStr">
        <is>
          <t>Referral / queue-jump loop</t>
        </is>
      </c>
      <c r="B6" s="11" t="inlineStr">
        <is>
          <t>Unpaid</t>
        </is>
      </c>
      <c r="C6" s="12" t="n">
        <v>5</v>
      </c>
      <c r="D6" s="12" t="n">
        <v>5</v>
      </c>
      <c r="E6" s="12" t="n">
        <v>4</v>
      </c>
      <c r="F6" s="12" t="n">
        <v>4</v>
      </c>
      <c r="G6" s="12" t="n">
        <v>5</v>
      </c>
      <c r="H6" s="12" t="n">
        <v>4</v>
      </c>
      <c r="I6" s="13">
        <f>SUMPRODUCT(C6:H6,$C$4:$H$4)</f>
        <v/>
      </c>
      <c r="J6" s="12">
        <f>RANK(I6,$I$5:$I$16)</f>
        <v/>
      </c>
      <c r="K6" s="12">
        <f>IF(I6&gt;=4,"Tier 1",IF(I6&gt;=3.6,"Tier 2","Tier 3 / later"))</f>
        <v/>
      </c>
    </row>
    <row r="7">
      <c r="A7" s="10" t="inlineStr">
        <is>
          <t>Crypto-native ad networks (HypeLab/Bitmedia/Coinzilla)</t>
        </is>
      </c>
      <c r="B7" s="11" t="inlineStr">
        <is>
          <t>Paid</t>
        </is>
      </c>
      <c r="C7" s="12" t="n">
        <v>4</v>
      </c>
      <c r="D7" s="12" t="n">
        <v>4</v>
      </c>
      <c r="E7" s="12" t="n">
        <v>4</v>
      </c>
      <c r="F7" s="12" t="n">
        <v>4</v>
      </c>
      <c r="G7" s="12" t="n">
        <v>5</v>
      </c>
      <c r="H7" s="12" t="n">
        <v>3</v>
      </c>
      <c r="I7" s="13">
        <f>SUMPRODUCT(C7:H7,$C$4:$H$4)</f>
        <v/>
      </c>
      <c r="J7" s="12">
        <f>RANK(I7,$I$5:$I$16)</f>
        <v/>
      </c>
      <c r="K7" s="12">
        <f>IF(I7&gt;=4,"Tier 1",IF(I7&gt;=3.6,"Tier 2","Tier 3 / later"))</f>
        <v/>
      </c>
    </row>
    <row r="8">
      <c r="A8" s="10" t="inlineStr">
        <is>
          <t>X organic + community (Telegram/Discord)</t>
        </is>
      </c>
      <c r="B8" s="11" t="inlineStr">
        <is>
          <t>Unpaid</t>
        </is>
      </c>
      <c r="C8" s="12" t="n">
        <v>4</v>
      </c>
      <c r="D8" s="12" t="n">
        <v>4</v>
      </c>
      <c r="E8" s="12" t="n">
        <v>3</v>
      </c>
      <c r="F8" s="12" t="n">
        <v>4</v>
      </c>
      <c r="G8" s="12" t="n">
        <v>5</v>
      </c>
      <c r="H8" s="12" t="n">
        <v>3</v>
      </c>
      <c r="I8" s="13">
        <f>SUMPRODUCT(C8:H8,$C$4:$H$4)</f>
        <v/>
      </c>
      <c r="J8" s="12">
        <f>RANK(I8,$I$5:$I$16)</f>
        <v/>
      </c>
      <c r="K8" s="12">
        <f>IF(I8&gt;=4,"Tier 1",IF(I8&gt;=3.6,"Tier 2","Tier 3 / later"))</f>
        <v/>
      </c>
    </row>
    <row r="9">
      <c r="A9" s="10" t="inlineStr">
        <is>
          <t>KOL / micro-KOL cohort (already sourced)</t>
        </is>
      </c>
      <c r="B9" s="11" t="inlineStr">
        <is>
          <t>Unpaid/vested</t>
        </is>
      </c>
      <c r="C9" s="12" t="n">
        <v>4</v>
      </c>
      <c r="D9" s="12" t="n">
        <v>4</v>
      </c>
      <c r="E9" s="12" t="n">
        <v>4</v>
      </c>
      <c r="F9" s="12" t="n">
        <v>3</v>
      </c>
      <c r="G9" s="12" t="n">
        <v>5</v>
      </c>
      <c r="H9" s="12" t="n">
        <v>3</v>
      </c>
      <c r="I9" s="13">
        <f>SUMPRODUCT(C9:H9,$C$4:$H$4)</f>
        <v/>
      </c>
      <c r="J9" s="12">
        <f>RANK(I9,$I$5:$I$16)</f>
        <v/>
      </c>
      <c r="K9" s="12">
        <f>IF(I9&gt;=4,"Tier 1",IF(I9&gt;=3.6,"Tier 2","Tier 3 / later"))</f>
        <v/>
      </c>
    </row>
    <row r="10">
      <c r="A10" s="10" t="inlineStr">
        <is>
          <t>Newsletter sponsorships (Milk Road, Bankless, Defiant)</t>
        </is>
      </c>
      <c r="B10" s="11" t="inlineStr">
        <is>
          <t>Paid</t>
        </is>
      </c>
      <c r="C10" s="12" t="n">
        <v>4</v>
      </c>
      <c r="D10" s="12" t="n">
        <v>3</v>
      </c>
      <c r="E10" s="12" t="n">
        <v>4</v>
      </c>
      <c r="F10" s="12" t="n">
        <v>4</v>
      </c>
      <c r="G10" s="12" t="n">
        <v>4</v>
      </c>
      <c r="H10" s="12" t="n">
        <v>4</v>
      </c>
      <c r="I10" s="13">
        <f>SUMPRODUCT(C10:H10,$C$4:$H$4)</f>
        <v/>
      </c>
      <c r="J10" s="12">
        <f>RANK(I10,$I$5:$I$16)</f>
        <v/>
      </c>
      <c r="K10" s="12">
        <f>IF(I10&gt;=4,"Tier 1",IF(I10&gt;=3.6,"Tier 2","Tier 3 / later"))</f>
        <v/>
      </c>
    </row>
    <row r="11">
      <c r="A11" s="10" t="inlineStr">
        <is>
          <t>App store pre-registration (Google Play / iOS)</t>
        </is>
      </c>
      <c r="B11" s="11" t="inlineStr">
        <is>
          <t>Unpaid</t>
        </is>
      </c>
      <c r="C11" s="12" t="n">
        <v>3</v>
      </c>
      <c r="D11" s="12" t="n">
        <v>4</v>
      </c>
      <c r="E11" s="12" t="n">
        <v>3</v>
      </c>
      <c r="F11" s="12" t="n">
        <v>4</v>
      </c>
      <c r="G11" s="12" t="n">
        <v>4</v>
      </c>
      <c r="H11" s="12" t="n">
        <v>4</v>
      </c>
      <c r="I11" s="13">
        <f>SUMPRODUCT(C11:H11,$C$4:$H$4)</f>
        <v/>
      </c>
      <c r="J11" s="12">
        <f>RANK(I11,$I$5:$I$16)</f>
        <v/>
      </c>
      <c r="K11" s="12">
        <f>IF(I11&gt;=4,"Tier 1",IF(I11&gt;=3.6,"Tier 2","Tier 3 / later"))</f>
        <v/>
      </c>
    </row>
    <row r="12">
      <c r="A12" s="10" t="inlineStr">
        <is>
          <t>Kaito Studio / attention marketing</t>
        </is>
      </c>
      <c r="B12" s="11" t="inlineStr">
        <is>
          <t>Paid</t>
        </is>
      </c>
      <c r="C12" s="12" t="n">
        <v>4</v>
      </c>
      <c r="D12" s="12" t="n">
        <v>3</v>
      </c>
      <c r="E12" s="12" t="n">
        <v>3</v>
      </c>
      <c r="F12" s="12" t="n">
        <v>3</v>
      </c>
      <c r="G12" s="12" t="n">
        <v>5</v>
      </c>
      <c r="H12" s="12" t="n">
        <v>3</v>
      </c>
      <c r="I12" s="13">
        <f>SUMPRODUCT(C12:H12,$C$4:$H$4)</f>
        <v/>
      </c>
      <c r="J12" s="12">
        <f>RANK(I12,$I$5:$I$16)</f>
        <v/>
      </c>
      <c r="K12" s="12">
        <f>IF(I12&gt;=4,"Tier 1",IF(I12&gt;=3.6,"Tier 2","Tier 3 / later"))</f>
        <v/>
      </c>
    </row>
    <row r="13">
      <c r="A13" s="10" t="inlineStr">
        <is>
          <t>Paid KOL campaigns</t>
        </is>
      </c>
      <c r="B13" s="11" t="inlineStr">
        <is>
          <t>Paid</t>
        </is>
      </c>
      <c r="C13" s="12" t="n">
        <v>4</v>
      </c>
      <c r="D13" s="12" t="n">
        <v>3</v>
      </c>
      <c r="E13" s="12" t="n">
        <v>4</v>
      </c>
      <c r="F13" s="12" t="n">
        <v>3</v>
      </c>
      <c r="G13" s="12" t="n">
        <v>4</v>
      </c>
      <c r="H13" s="12" t="n">
        <v>3</v>
      </c>
      <c r="I13" s="13">
        <f>SUMPRODUCT(C13:H13,$C$4:$H$4)</f>
        <v/>
      </c>
      <c r="J13" s="12">
        <f>RANK(I13,$I$5:$I$16)</f>
        <v/>
      </c>
      <c r="K13" s="12">
        <f>IF(I13&gt;=4,"Tier 1",IF(I13&gt;=3.6,"Tier 2","Tier 3 / later"))</f>
        <v/>
      </c>
    </row>
    <row r="14">
      <c r="A14" s="10" t="inlineStr">
        <is>
          <t>PR (blockchainwire + tier-1 crypto media)</t>
        </is>
      </c>
      <c r="B14" s="11" t="inlineStr">
        <is>
          <t>Unpaid/Paid</t>
        </is>
      </c>
      <c r="C14" s="12" t="n">
        <v>3</v>
      </c>
      <c r="D14" s="12" t="n">
        <v>3</v>
      </c>
      <c r="E14" s="12" t="n">
        <v>4</v>
      </c>
      <c r="F14" s="12" t="n">
        <v>4</v>
      </c>
      <c r="G14" s="12" t="n">
        <v>3</v>
      </c>
      <c r="H14" s="12" t="n">
        <v>4</v>
      </c>
      <c r="I14" s="13">
        <f>SUMPRODUCT(C14:H14,$C$4:$H$4)</f>
        <v/>
      </c>
      <c r="J14" s="12">
        <f>RANK(I14,$I$5:$I$16)</f>
        <v/>
      </c>
      <c r="K14" s="12">
        <f>IF(I14&gt;=4,"Tier 1",IF(I14&gt;=3.6,"Tier 2","Tier 3 / later"))</f>
        <v/>
      </c>
    </row>
    <row r="15">
      <c r="A15" s="10" t="inlineStr">
        <is>
          <t>SEO / content</t>
        </is>
      </c>
      <c r="B15" s="11" t="inlineStr">
        <is>
          <t>Unpaid</t>
        </is>
      </c>
      <c r="C15" s="12" t="n">
        <v>3</v>
      </c>
      <c r="D15" s="12" t="n">
        <v>4</v>
      </c>
      <c r="E15" s="12" t="n">
        <v>2</v>
      </c>
      <c r="F15" s="12" t="n">
        <v>5</v>
      </c>
      <c r="G15" s="12" t="n">
        <v>3</v>
      </c>
      <c r="H15" s="12" t="n">
        <v>3</v>
      </c>
      <c r="I15" s="13">
        <f>SUMPRODUCT(C15:H15,$C$4:$H$4)</f>
        <v/>
      </c>
      <c r="J15" s="12">
        <f>RANK(I15,$I$5:$I$16)</f>
        <v/>
      </c>
      <c r="K15" s="12">
        <f>IF(I15&gt;=4,"Tier 1",IF(I15&gt;=3.6,"Tier 2","Tier 3 / later"))</f>
        <v/>
      </c>
    </row>
    <row r="16">
      <c r="A16" s="10" t="inlineStr">
        <is>
          <t>Google / Meta / X paid (mainstream)</t>
        </is>
      </c>
      <c r="B16" s="11" t="inlineStr">
        <is>
          <t>Paid</t>
        </is>
      </c>
      <c r="C16" s="12" t="n">
        <v>5</v>
      </c>
      <c r="D16" s="12" t="n">
        <v>3</v>
      </c>
      <c r="E16" s="12" t="n">
        <v>2</v>
      </c>
      <c r="F16" s="12" t="n">
        <v>2</v>
      </c>
      <c r="G16" s="12" t="n">
        <v>4</v>
      </c>
      <c r="H16" s="12" t="n">
        <v>2</v>
      </c>
      <c r="I16" s="13">
        <f>SUMPRODUCT(C16:H16,$C$4:$H$4)</f>
        <v/>
      </c>
      <c r="J16" s="12">
        <f>RANK(I16,$I$5:$I$16)</f>
        <v/>
      </c>
      <c r="K16" s="12">
        <f>IF(I16&gt;=4,"Tier 1",IF(I16&gt;=3.6,"Tier 2","Tier 3 / later"))</f>
        <v/>
      </c>
    </row>
    <row r="18">
      <c r="A18" s="14" t="inlineStr">
        <is>
          <t>Channel notes</t>
        </is>
      </c>
    </row>
    <row r="19">
      <c r="A19" s="5" t="inlineStr">
        <is>
          <t>Existing LCX base (email / on-platform / CRM)</t>
        </is>
      </c>
      <c r="B19" s="4" t="inlineStr">
        <is>
          <t>Warmest, cheapest. Convert the 50%+ US LCX.com audience first. Announce the waitlist in-app, by email, on login.</t>
        </is>
      </c>
    </row>
    <row r="20">
      <c r="A20" s="5" t="inlineStr">
        <is>
          <t>Referral / queue-jump loop</t>
        </is>
      </c>
      <c r="B20" s="4" t="inlineStr">
        <is>
          <t>The engine. Robinhood-style position + double-sided perks. Compounds every other channel. Avoid pre-announced token rewards (securities risk).</t>
        </is>
      </c>
    </row>
    <row r="21">
      <c r="A21" s="5" t="inlineStr">
        <is>
          <t>Crypto-native ad networks (HypeLab/Bitmedia/Coinzilla)</t>
        </is>
      </c>
      <c r="B21" s="4" t="inlineStr">
        <is>
          <t>On-chain / wallet-behaviour targeting; CAC ~50–70% below general channels; native CTR 0.5–3%. No platform certification needed. Start here for paid.</t>
        </is>
      </c>
    </row>
    <row r="22">
      <c r="A22" s="5" t="inlineStr">
        <is>
          <t>X organic + community (Telegram/Discord)</t>
        </is>
      </c>
      <c r="B22" s="4" t="inlineStr">
        <is>
          <t>X = discovery/narrative; Telegram = activation; Discord = depth/retention. Consistent content + moderation.</t>
        </is>
      </c>
    </row>
    <row r="23">
      <c r="A23" s="5" t="inlineStr">
        <is>
          <t>KOL / micro-KOL cohort (already sourced)</t>
        </is>
      </c>
      <c r="B23" s="4" t="inlineStr">
        <is>
          <t>Cohort already sourced &amp; FTC-disclosed. Vested (non-cash) alignment; must disclose material connection.</t>
        </is>
      </c>
    </row>
    <row r="24">
      <c r="A24" s="5" t="inlineStr">
        <is>
          <t>Newsletter sponsorships (Milk Road, Bankless, Defiant)</t>
        </is>
      </c>
      <c r="B24" s="4" t="inlineStr">
        <is>
          <t>Milk Road ~$10–25k/send, 330k subs. Native ads in-voice convert well; awareness + signups.</t>
        </is>
      </c>
    </row>
    <row r="25">
      <c r="A25" s="5" t="inlineStr">
        <is>
          <t>App store pre-registration (Google Play / iOS)</t>
        </is>
      </c>
      <c r="B25" s="4" t="inlineStr">
        <is>
          <t>Google Play pre-reg up to 90 days → auto-push at launch. Feeds day-1 install velocity. Use the LCX org accounts.</t>
        </is>
      </c>
    </row>
    <row r="26">
      <c r="A26" s="5" t="inlineStr">
        <is>
          <t>Kaito Studio / attention marketing</t>
        </is>
      </c>
      <c r="B26" s="4" t="inlineStr">
        <is>
          <t>Creator–brand marketplace across X/YT/TikTok + mindshare tracking. NOTE: 'yap-to-earn' sunset Jan 2026 — use Studio + KOLs, not post-to-earn.</t>
        </is>
      </c>
    </row>
    <row r="27">
      <c r="A27" s="5" t="inlineStr">
        <is>
          <t>Paid KOL campaigns</t>
        </is>
      </c>
      <c r="B27" s="4" t="inlineStr">
        <is>
          <t>Beyond the vested cohort; must carry 'Paid Partnership' labels (X, from Feb 2026) + FTC disclosure; no return promises.</t>
        </is>
      </c>
    </row>
    <row r="28">
      <c r="A28" s="5" t="inlineStr">
        <is>
          <t>PR (blockchainwire + tier-1 crypto media)</t>
        </is>
      </c>
      <c r="B28" s="4" t="inlineStr">
        <is>
          <t>Founder-led reshoring/American-DeFi story; coordinated drops. Awareness, not direct signups.</t>
        </is>
      </c>
    </row>
    <row r="29">
      <c r="A29" s="5" t="inlineStr">
        <is>
          <t>SEO / content</t>
        </is>
      </c>
      <c r="B29" s="4" t="inlineStr">
        <is>
          <t>Slow but compounding; owns 'LCX US', 'American DeFi', on-ramp/self-custody intent terms.</t>
        </is>
      </c>
    </row>
    <row r="30">
      <c r="A30" s="5" t="inlineStr">
        <is>
          <t>Google / Meta / X paid (mainstream)</t>
        </is>
      </c>
      <c r="B30" s="4" t="inlineStr">
        <is>
          <t>Largest reach but GATED: certified 'Verified Crypto Advertiser' + licensed exchange only; buy/sell promos restricted. Turn on AFTER certification/licensing.</t>
        </is>
      </c>
    </row>
  </sheetData>
  <mergeCells count="14">
    <mergeCell ref="B23:K23"/>
    <mergeCell ref="B22:K22"/>
    <mergeCell ref="B26:K26"/>
    <mergeCell ref="B27:K27"/>
    <mergeCell ref="B21:K21"/>
    <mergeCell ref="A2:K2"/>
    <mergeCell ref="B30:K30"/>
    <mergeCell ref="B29:K29"/>
    <mergeCell ref="B25:K25"/>
    <mergeCell ref="B24:K24"/>
    <mergeCell ref="B28:K28"/>
    <mergeCell ref="B20:K20"/>
    <mergeCell ref="A1:K1"/>
    <mergeCell ref="B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20" customWidth="1" min="5" max="5"/>
  </cols>
  <sheetData>
    <row r="1" ht="30" customHeight="1">
      <c r="A1" s="1" t="inlineStr">
        <is>
          <t>Funnel &amp; Budget model — planning assumptions (blue = editable input)</t>
        </is>
      </c>
    </row>
    <row r="2" ht="16" customHeight="1">
      <c r="A2" s="2" t="inlineStr">
        <is>
          <t>Signups = Budget ÷ CAC for paid; organic entered directly. Figures are planning estimates from public benchmarks — validate live.</t>
        </is>
      </c>
    </row>
    <row r="3">
      <c r="A3" s="14" t="inlineStr">
        <is>
          <t>BASE scenario — channel spend &amp; signups</t>
        </is>
      </c>
    </row>
    <row r="4">
      <c r="A4" s="6" t="inlineStr">
        <is>
          <t>Channel</t>
        </is>
      </c>
      <c r="B4" s="6" t="inlineStr">
        <is>
          <t>Type</t>
        </is>
      </c>
      <c r="C4" s="6" t="inlineStr">
        <is>
          <t>Budget ($)</t>
        </is>
      </c>
      <c r="D4" s="6" t="inlineStr">
        <is>
          <t>Signup CAC ($)</t>
        </is>
      </c>
      <c r="E4" s="6" t="inlineStr">
        <is>
          <t>Signups</t>
        </is>
      </c>
    </row>
    <row r="5">
      <c r="A5" s="15" t="inlineStr">
        <is>
          <t>Crypto-native ad networks</t>
        </is>
      </c>
      <c r="B5" s="12" t="inlineStr">
        <is>
          <t>Paid</t>
        </is>
      </c>
      <c r="C5" s="16" t="n">
        <v>30000</v>
      </c>
      <c r="D5" s="16" t="n">
        <v>35</v>
      </c>
      <c r="E5" s="17">
        <f>IFERROR(C5/D5,0)</f>
        <v/>
      </c>
    </row>
    <row r="6">
      <c r="A6" s="15" t="inlineStr">
        <is>
          <t>Newsletter sponsorships</t>
        </is>
      </c>
      <c r="B6" s="12" t="inlineStr">
        <is>
          <t>Paid</t>
        </is>
      </c>
      <c r="C6" s="16" t="n">
        <v>25000</v>
      </c>
      <c r="D6" s="16" t="n">
        <v>50</v>
      </c>
      <c r="E6" s="17">
        <f>IFERROR(C6/D6,0)</f>
        <v/>
      </c>
    </row>
    <row r="7">
      <c r="A7" s="15" t="inlineStr">
        <is>
          <t>Paid KOL campaigns</t>
        </is>
      </c>
      <c r="B7" s="12" t="inlineStr">
        <is>
          <t>Paid</t>
        </is>
      </c>
      <c r="C7" s="16" t="n">
        <v>20000</v>
      </c>
      <c r="D7" s="16" t="n">
        <v>45</v>
      </c>
      <c r="E7" s="17">
        <f>IFERROR(C7/D7,0)</f>
        <v/>
      </c>
    </row>
    <row r="8">
      <c r="A8" s="15" t="inlineStr">
        <is>
          <t>Kaito Studio / attention</t>
        </is>
      </c>
      <c r="B8" s="12" t="inlineStr">
        <is>
          <t>Paid</t>
        </is>
      </c>
      <c r="C8" s="16" t="n">
        <v>10000</v>
      </c>
      <c r="D8" s="16" t="n">
        <v>60</v>
      </c>
      <c r="E8" s="17">
        <f>IFERROR(C8/D8,0)</f>
        <v/>
      </c>
    </row>
    <row r="9">
      <c r="A9" s="15" t="inlineStr">
        <is>
          <t>Google/Meta/X (post-cert)</t>
        </is>
      </c>
      <c r="B9" s="12" t="inlineStr">
        <is>
          <t>Paid</t>
        </is>
      </c>
      <c r="C9" s="16" t="n">
        <v>15000</v>
      </c>
      <c r="D9" s="16" t="n">
        <v>90</v>
      </c>
      <c r="E9" s="17">
        <f>IFERROR(C9/D9,0)</f>
        <v/>
      </c>
    </row>
    <row r="10">
      <c r="A10" s="15" t="inlineStr">
        <is>
          <t>Existing LCX base</t>
        </is>
      </c>
      <c r="B10" s="12" t="inlineStr">
        <is>
          <t>Organic</t>
        </is>
      </c>
      <c r="C10" s="18" t="n">
        <v>0</v>
      </c>
      <c r="D10" s="12" t="inlineStr">
        <is>
          <t>—</t>
        </is>
      </c>
      <c r="E10" s="19" t="n">
        <v>8000</v>
      </c>
    </row>
    <row r="11">
      <c r="A11" s="15" t="inlineStr">
        <is>
          <t>Referral loop uplift</t>
        </is>
      </c>
      <c r="B11" s="12" t="inlineStr">
        <is>
          <t>Organic</t>
        </is>
      </c>
      <c r="C11" s="18" t="n">
        <v>0</v>
      </c>
      <c r="D11" s="12" t="inlineStr">
        <is>
          <t>—</t>
        </is>
      </c>
      <c r="E11" s="19" t="n">
        <v>6000</v>
      </c>
    </row>
    <row r="12">
      <c r="A12" s="15" t="inlineStr">
        <is>
          <t>X + community</t>
        </is>
      </c>
      <c r="B12" s="12" t="inlineStr">
        <is>
          <t>Organic</t>
        </is>
      </c>
      <c r="C12" s="18" t="n">
        <v>0</v>
      </c>
      <c r="D12" s="12" t="inlineStr">
        <is>
          <t>—</t>
        </is>
      </c>
      <c r="E12" s="19" t="n">
        <v>2500</v>
      </c>
    </row>
    <row r="13">
      <c r="A13" s="15" t="inlineStr">
        <is>
          <t>KOL cohort (vested)</t>
        </is>
      </c>
      <c r="B13" s="12" t="inlineStr">
        <is>
          <t>Organic</t>
        </is>
      </c>
      <c r="C13" s="18" t="n">
        <v>0</v>
      </c>
      <c r="D13" s="12" t="inlineStr">
        <is>
          <t>—</t>
        </is>
      </c>
      <c r="E13" s="19" t="n">
        <v>2000</v>
      </c>
    </row>
    <row r="14">
      <c r="A14" s="15" t="inlineStr">
        <is>
          <t>App pre-registration</t>
        </is>
      </c>
      <c r="B14" s="12" t="inlineStr">
        <is>
          <t>Organic</t>
        </is>
      </c>
      <c r="C14" s="18" t="n">
        <v>0</v>
      </c>
      <c r="D14" s="12" t="inlineStr">
        <is>
          <t>—</t>
        </is>
      </c>
      <c r="E14" s="19" t="n">
        <v>1200</v>
      </c>
    </row>
    <row r="15">
      <c r="A15" s="15" t="inlineStr">
        <is>
          <t>PR</t>
        </is>
      </c>
      <c r="B15" s="12" t="inlineStr">
        <is>
          <t>Organic</t>
        </is>
      </c>
      <c r="C15" s="18" t="n">
        <v>0</v>
      </c>
      <c r="D15" s="12" t="inlineStr">
        <is>
          <t>—</t>
        </is>
      </c>
      <c r="E15" s="19" t="n">
        <v>1500</v>
      </c>
    </row>
    <row r="16">
      <c r="A16" s="15" t="inlineStr">
        <is>
          <t>SEO / content</t>
        </is>
      </c>
      <c r="B16" s="12" t="inlineStr">
        <is>
          <t>Organic</t>
        </is>
      </c>
      <c r="C16" s="18" t="n">
        <v>0</v>
      </c>
      <c r="D16" s="12" t="inlineStr">
        <is>
          <t>—</t>
        </is>
      </c>
      <c r="E16" s="19" t="n">
        <v>800</v>
      </c>
    </row>
    <row r="17">
      <c r="A17" s="20" t="inlineStr">
        <is>
          <t>TOTAL</t>
        </is>
      </c>
      <c r="B17" s="21" t="inlineStr"/>
      <c r="C17" s="22">
        <f>SUM(C5:C16)</f>
        <v/>
      </c>
      <c r="D17" s="21" t="inlineStr"/>
      <c r="E17" s="23">
        <f>SUM(E5:E16)</f>
        <v/>
      </c>
    </row>
    <row r="19">
      <c r="A19" s="14" t="inlineStr">
        <is>
          <t>Funnel conversion (BASE)</t>
        </is>
      </c>
    </row>
    <row r="20">
      <c r="A20" s="24" t="inlineStr">
        <is>
          <t>Total waitlist signups</t>
        </is>
      </c>
      <c r="C20" s="25">
        <f>E17</f>
        <v/>
      </c>
    </row>
    <row r="21">
      <c r="A21" s="26" t="inlineStr">
        <is>
          <t>× Waitlist to verified (KYC) at launch</t>
        </is>
      </c>
      <c r="C21" s="27" t="n">
        <v>0.55</v>
      </c>
    </row>
    <row r="22">
      <c r="A22" s="24" t="inlineStr">
        <is>
          <t>Verified users</t>
        </is>
      </c>
      <c r="C22" s="25">
        <f>E17*C20</f>
        <v/>
      </c>
    </row>
    <row r="23">
      <c r="A23" s="26" t="inlineStr">
        <is>
          <t>× Verified to funded account</t>
        </is>
      </c>
      <c r="C23" s="27" t="n">
        <v>0.45</v>
      </c>
    </row>
    <row r="24">
      <c r="A24" s="24" t="inlineStr">
        <is>
          <t>Funded accounts</t>
        </is>
      </c>
      <c r="C24" s="25">
        <f>C21*C22</f>
        <v/>
      </c>
    </row>
    <row r="25">
      <c r="A25" s="24" t="inlineStr">
        <is>
          <t>Total spend</t>
        </is>
      </c>
      <c r="C25" s="28">
        <f>C17</f>
        <v/>
      </c>
    </row>
    <row r="26">
      <c r="A26" s="24" t="inlineStr">
        <is>
          <t>Blended CAC per funded account</t>
        </is>
      </c>
      <c r="C26" s="28">
        <f>IFERROR(C24/C23,0)</f>
        <v/>
      </c>
    </row>
    <row r="28">
      <c r="A28" s="14" t="inlineStr">
        <is>
          <t>Scenario summary (illustrative)</t>
        </is>
      </c>
    </row>
    <row r="29">
      <c r="A29" s="6" t="inlineStr">
        <is>
          <t>Scenario</t>
        </is>
      </c>
      <c r="B29" s="6" t="inlineStr">
        <is>
          <t>Total budget ($)</t>
        </is>
      </c>
      <c r="C29" s="6" t="inlineStr">
        <is>
          <t>Est. waitlist</t>
        </is>
      </c>
      <c r="D29" s="6" t="inlineStr">
        <is>
          <t>Est. funded</t>
        </is>
      </c>
      <c r="E29" s="6" t="inlineStr">
        <is>
          <t>Blended CAC/funded ($)</t>
        </is>
      </c>
    </row>
    <row r="30">
      <c r="A30" s="15" t="inlineStr">
        <is>
          <t>Lean</t>
        </is>
      </c>
      <c r="B30" s="16" t="n">
        <v>25000</v>
      </c>
      <c r="C30" s="19" t="n">
        <v>12000</v>
      </c>
      <c r="D30" s="19" t="n">
        <v>3200</v>
      </c>
      <c r="E30" s="18">
        <f>IFERROR(B30/D30,0)</f>
        <v/>
      </c>
    </row>
    <row r="31">
      <c r="A31" s="15" t="inlineStr">
        <is>
          <t>Base (model above)</t>
        </is>
      </c>
      <c r="B31" s="18">
        <f>C17</f>
        <v/>
      </c>
      <c r="C31" s="17">
        <f>E17</f>
        <v/>
      </c>
      <c r="D31" s="17">
        <f>C24</f>
        <v/>
      </c>
      <c r="E31" s="18">
        <f>IFERROR(B31/D31,0)</f>
        <v/>
      </c>
    </row>
    <row r="32">
      <c r="A32" s="15" t="inlineStr">
        <is>
          <t>Aggressive</t>
        </is>
      </c>
      <c r="B32" s="16" t="n">
        <v>300000</v>
      </c>
      <c r="C32" s="19" t="n">
        <v>55000</v>
      </c>
      <c r="D32" s="19" t="n">
        <v>14000</v>
      </c>
      <c r="E32" s="18">
        <f>IFERROR(B32/D32,0)</f>
        <v/>
      </c>
    </row>
    <row r="34">
      <c r="A34" s="29" t="inlineStr">
        <is>
          <t>Benchmarks (public): crypto-exchange signup CAC ~$100–200 general; crypto-native networks 50–70% lower (~$30–60); DeFi ~$85; wallet installs $15–40. Waitlist LP conversion ~15% (good 20–30%). These inform the blue inputs.</t>
        </is>
      </c>
    </row>
  </sheetData>
  <mergeCells count="3">
    <mergeCell ref="A2:F2"/>
    <mergeCell ref="A34:E3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66" customWidth="1" min="2" max="2"/>
    <col width="30" customWidth="1" min="3" max="3"/>
    <col width="8" customWidth="1" min="4" max="4"/>
  </cols>
  <sheetData>
    <row r="1" ht="30" customHeight="1">
      <c r="A1" s="1" t="inlineStr">
        <is>
          <t>Referral mechanic design + compliance guardrails</t>
        </is>
      </c>
    </row>
    <row r="2" ht="16" customHeight="1">
      <c r="A2" s="2" t="inlineStr">
        <is>
          <t>Compliant, Robinhood-style. Confirm reward structure with securities counsel.</t>
        </is>
      </c>
    </row>
    <row r="3">
      <c r="A3" s="14" t="inlineStr">
        <is>
          <t>A. Referral mechanic (compliant)</t>
        </is>
      </c>
    </row>
    <row r="4" ht="54" customHeight="1">
      <c r="A4" s="30" t="inlineStr">
        <is>
          <t>Core loop</t>
        </is>
      </c>
      <c r="B4" s="10" t="inlineStr">
        <is>
          <t>Every signup gets a unique link + a visible queue position + leaderboard. Referrals move you up. Position is the primary reward (Robinhood model: ~1M pre-launch signups, 3x viral coefficient, no cash reward).</t>
        </is>
      </c>
    </row>
    <row r="5" ht="54" customHeight="1">
      <c r="A5" s="30" t="inlineStr">
        <is>
          <t>Double-sided perks</t>
        </is>
      </c>
      <c r="B5" s="10" t="inlineStr">
        <is>
          <t>Both referrer and referee get a non-cash perk (earlier access tier, launch fee-discount, status badge, LCX swag). Double-sided programs see ~3x the participation of single-sided.</t>
        </is>
      </c>
    </row>
    <row r="6" ht="54" customHeight="1">
      <c r="A6" s="30" t="inlineStr">
        <is>
          <t>Milestone ladder</t>
        </is>
      </c>
      <c r="B6" s="10" t="inlineStr">
        <is>
          <t>Progressive, non-cash: 1 ref = move up; 3 = early-access tier; 10 = 'founding user' badge + higher launch fee discount; 25 = priority support / event invite.</t>
        </is>
      </c>
    </row>
    <row r="7" ht="54" customHeight="1">
      <c r="A7" s="30" t="inlineStr">
        <is>
          <t>First-60-seconds prompt</t>
        </is>
      </c>
      <c r="B7" s="10" t="inlineStr">
        <is>
          <t>Confirmation email/screen immediately prompts sharing — the single biggest driver of loop velocity.</t>
        </is>
      </c>
    </row>
    <row r="8" ht="54" customHeight="1">
      <c r="A8" s="30" t="inlineStr">
        <is>
          <t>Anti-sybil</t>
        </is>
      </c>
      <c r="B8" s="10" t="inlineStr">
        <is>
          <t>Maturation window: the larger perk unlocks only after the referred user completes KYC and stays active at launch. ML fraud detection; cap referrals; dedupe device/IP.</t>
        </is>
      </c>
    </row>
    <row r="9" ht="54" customHeight="1">
      <c r="A9" s="30" t="inlineStr">
        <is>
          <t>At launch (post-live)</t>
        </is>
      </c>
      <c r="B9" s="10" t="inlineStr">
        <is>
          <t>Convert to a fee-based referral (trading-fee discount / rev-share), KYC-gated, min-activity qualified — the Coinbase/Kraken pattern (compliant, not a token giveaway).</t>
        </is>
      </c>
    </row>
    <row r="11">
      <c r="A11" s="14" t="inlineStr">
        <is>
          <t>B. Compliance guardrails</t>
        </is>
      </c>
    </row>
    <row r="12">
      <c r="A12" s="6" t="inlineStr">
        <is>
          <t>Guardrail</t>
        </is>
      </c>
      <c r="B12" s="6" t="inlineStr">
        <is>
          <t>What it means</t>
        </is>
      </c>
      <c r="C12" s="6" t="inlineStr">
        <is>
          <t>Risk if ignored</t>
        </is>
      </c>
      <c r="D12" s="6" t="inlineStr">
        <is>
          <t>Src</t>
        </is>
      </c>
    </row>
    <row r="13" ht="58" customHeight="1">
      <c r="A13" s="30" t="inlineStr">
        <is>
          <t>No pre-announced token quid-pro-quo</t>
        </is>
      </c>
      <c r="B13" s="10" t="inlineStr">
        <is>
          <t>SEC/CFTC (Mar 2026): airdrops with no bargained-for consideration aren't securities, but pre-announced 'do X to earn a token' IS. Keep waitlist rewards non-token / non-cash, or clear with counsel.</t>
        </is>
      </c>
      <c r="C13" s="10" t="inlineStr">
        <is>
          <t>Unregistered securities offering</t>
        </is>
      </c>
      <c r="D13" s="10" t="inlineStr">
        <is>
          <t>1,8</t>
        </is>
      </c>
    </row>
    <row r="14" ht="58" customHeight="1">
      <c r="A14" s="30" t="inlineStr">
        <is>
          <t>FTC endorsement disclosure</t>
        </is>
      </c>
      <c r="B14" s="10" t="inlineStr">
        <is>
          <t>Every KOL (paid, tokens, or early access) discloses the material connection clearly, before the fold; no guaranteed-return or risk-downplaying language.</t>
        </is>
      </c>
      <c r="C14" s="10" t="inlineStr">
        <is>
          <t>FTC action; reputational</t>
        </is>
      </c>
      <c r="D14" s="10" t="inlineStr">
        <is>
          <t>6</t>
        </is>
      </c>
    </row>
    <row r="15" ht="58" customHeight="1">
      <c r="A15" s="30" t="inlineStr">
        <is>
          <t>No price / return promises</t>
        </is>
      </c>
      <c r="B15" s="10" t="inlineStr">
        <is>
          <t>Per the LCX narrative: utility not investment. No 'buy now', ROI, or price talk in any waitlist creative.</t>
        </is>
      </c>
      <c r="C15" s="10" t="inlineStr">
        <is>
          <t>Ad-platform rejection; securities/marketing risk</t>
        </is>
      </c>
      <c r="D15" s="10" t="inlineStr">
        <is>
          <t>7</t>
        </is>
      </c>
    </row>
    <row r="16" ht="58" customHeight="1">
      <c r="A16" s="30" t="inlineStr">
        <is>
          <t>Ad-platform certification</t>
        </is>
      </c>
      <c r="B16" s="10" t="inlineStr">
        <is>
          <t>Google/Meta/X crypto ads need a certified 'Verified Crypto Advertiser' + licensed exchange; buy/sell promos restricted.</t>
        </is>
      </c>
      <c r="C16" s="10" t="inlineStr">
        <is>
          <t>Ads auto-rejected; wasted spend</t>
        </is>
      </c>
      <c r="D16" s="10" t="inlineStr">
        <is>
          <t>3,4</t>
        </is>
      </c>
    </row>
    <row r="17" ht="58" customHeight="1">
      <c r="A17" s="30" t="inlineStr">
        <is>
          <t>Geo / state gating</t>
        </is>
      </c>
      <c r="B17" s="10" t="inlineStr">
        <is>
          <t>Only invite &amp; convert users in states LCX US can legally serve (ties to Phase 2 licensing). Geoblock others (EEA already geofenced).</t>
        </is>
      </c>
      <c r="C17" s="10" t="inlineStr">
        <is>
          <t>Operating out of licence</t>
        </is>
      </c>
      <c r="D17" s="10" t="inlineStr">
        <is>
          <t>—</t>
        </is>
      </c>
    </row>
    <row r="18" ht="58" customHeight="1">
      <c r="A18" s="30" t="inlineStr">
        <is>
          <t>Data &amp; consent</t>
        </is>
      </c>
      <c r="B18" s="10" t="inlineStr">
        <is>
          <t>Waitlist email capture with clear consent, privacy policy, CAN-SPAM unsubscribe; store PII per policy.</t>
        </is>
      </c>
      <c r="C18" s="10" t="inlineStr">
        <is>
          <t>Privacy / CAN-SPAM exposure</t>
        </is>
      </c>
      <c r="D18" s="10" t="inlineStr">
        <is>
          <t>—</t>
        </is>
      </c>
    </row>
  </sheetData>
  <mergeCells count="8">
    <mergeCell ref="A1:D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4" customWidth="1" min="3" max="3"/>
    <col width="20" customWidth="1" min="4" max="4"/>
    <col width="20" customWidth="1" min="5" max="5"/>
  </cols>
  <sheetData>
    <row r="1" ht="30" customHeight="1">
      <c r="A1" s="1" t="inlineStr">
        <is>
          <t>90-Day waitlist growth plan</t>
        </is>
      </c>
    </row>
    <row r="2" ht="16" customHeight="1">
      <c r="A2" s="2" t="inlineStr">
        <is>
          <t>Indicative; adjust to launch date. Owners map to the LCX team.</t>
        </is>
      </c>
    </row>
    <row r="3">
      <c r="A3" s="6" t="inlineStr">
        <is>
          <t>Window</t>
        </is>
      </c>
      <c r="B3" s="6" t="inlineStr">
        <is>
          <t>Workstream</t>
        </is>
      </c>
      <c r="C3" s="6" t="inlineStr">
        <is>
          <t>Actions</t>
        </is>
      </c>
      <c r="D3" s="6" t="inlineStr">
        <is>
          <t>Primary owner</t>
        </is>
      </c>
      <c r="E3" s="6" t="inlineStr">
        <is>
          <t>KPI</t>
        </is>
      </c>
    </row>
    <row r="4" ht="52" customHeight="1">
      <c r="A4" s="30" t="inlineStr">
        <is>
          <t>Weeks 1–2</t>
        </is>
      </c>
      <c r="B4" s="10" t="inlineStr">
        <is>
          <t>Foundation</t>
        </is>
      </c>
      <c r="C4" s="10" t="inlineStr">
        <is>
          <t>Stand up waitlist page + referral tool (queue/leaderboard); wire analytics/attribution; email welcome series; adopt compliant reward + guardrails.</t>
        </is>
      </c>
      <c r="D4" s="10" t="inlineStr">
        <is>
          <t>Marketing / Eng</t>
        </is>
      </c>
      <c r="E4" s="10" t="inlineStr">
        <is>
          <t>Page live; loop tested</t>
        </is>
      </c>
    </row>
    <row r="5" ht="52" customHeight="1">
      <c r="A5" s="30" t="inlineStr">
        <is>
          <t>Weeks 1–2</t>
        </is>
      </c>
      <c r="B5" s="10" t="inlineStr">
        <is>
          <t>Warm base</t>
        </is>
      </c>
      <c r="C5" s="10" t="inlineStr">
        <is>
          <t>Announce to the 50%+ US LCX.com audience — email, in-app, login banner.</t>
        </is>
      </c>
      <c r="D5" s="10" t="inlineStr">
        <is>
          <t>Marketing (Tanushree)</t>
        </is>
      </c>
      <c r="E5" s="10" t="inlineStr">
        <is>
          <t>Base signups</t>
        </is>
      </c>
    </row>
    <row r="6" ht="52" customHeight="1">
      <c r="A6" s="30" t="inlineStr">
        <is>
          <t>Weeks 2–4</t>
        </is>
      </c>
      <c r="B6" s="10" t="inlineStr">
        <is>
          <t>Referral ignition</t>
        </is>
      </c>
      <c r="C6" s="10" t="inlineStr">
        <is>
          <t>Launch double-sided perks + milestone ladder; seed leaderboard; first-60-sec share prompt.</t>
        </is>
      </c>
      <c r="D6" s="10" t="inlineStr">
        <is>
          <t>Marketing</t>
        </is>
      </c>
      <c r="E6" s="10" t="inlineStr">
        <is>
          <t>Viral coefficient &gt;1</t>
        </is>
      </c>
    </row>
    <row r="7" ht="52" customHeight="1">
      <c r="A7" s="30" t="inlineStr">
        <is>
          <t>Weeks 2–6</t>
        </is>
      </c>
      <c r="B7" s="10" t="inlineStr">
        <is>
          <t>Crypto-native paid</t>
        </is>
      </c>
      <c r="C7" s="10" t="inlineStr">
        <is>
          <t>Test HypeLab/Bitmedia/Coinzilla with on-chain targeting; optimise to cost-per-signup.</t>
        </is>
      </c>
      <c r="D7" s="10" t="inlineStr">
        <is>
          <t>Growth / Adspirer</t>
        </is>
      </c>
      <c r="E7" s="10" t="inlineStr">
        <is>
          <t>Paid CAC &lt; $60</t>
        </is>
      </c>
    </row>
    <row r="8" ht="52" customHeight="1">
      <c r="A8" s="30" t="inlineStr">
        <is>
          <t>Weeks 3–8</t>
        </is>
      </c>
      <c r="B8" s="10" t="inlineStr">
        <is>
          <t>Community + KOL</t>
        </is>
      </c>
      <c r="C8" s="10" t="inlineStr">
        <is>
          <t>Activate X/Telegram/Discord cadence; deploy the vested micro-KOL cohort (FTC-disclosed).</t>
        </is>
      </c>
      <c r="D8" s="10" t="inlineStr">
        <is>
          <t>Community</t>
        </is>
      </c>
      <c r="E8" s="10" t="inlineStr">
        <is>
          <t>Community growth</t>
        </is>
      </c>
    </row>
    <row r="9" ht="52" customHeight="1">
      <c r="A9" s="30" t="inlineStr">
        <is>
          <t>Weeks 4–8</t>
        </is>
      </c>
      <c r="B9" s="10" t="inlineStr">
        <is>
          <t>Newsletters + attention</t>
        </is>
      </c>
      <c r="C9" s="10" t="inlineStr">
        <is>
          <t>Milk Road / Bankless / Defiant sends; Kaito Studio creators.</t>
        </is>
      </c>
      <c r="D9" s="10" t="inlineStr">
        <is>
          <t>Marketing</t>
        </is>
      </c>
      <c r="E9" s="10" t="inlineStr">
        <is>
          <t>Signups per send</t>
        </is>
      </c>
    </row>
    <row r="10" ht="52" customHeight="1">
      <c r="A10" s="30" t="inlineStr">
        <is>
          <t>Weeks 4–10</t>
        </is>
      </c>
      <c r="B10" s="10" t="inlineStr">
        <is>
          <t>PR + SEO + app pre-reg</t>
        </is>
      </c>
      <c r="C10" s="10" t="inlineStr">
        <is>
          <t>blockchainwire + tier-1 drops; publish 'American DeFi / LCX US' content; open Google Play/iOS pre-registration.</t>
        </is>
      </c>
      <c r="D10" s="10" t="inlineStr">
        <is>
          <t>Marketing / Eng</t>
        </is>
      </c>
      <c r="E10" s="10" t="inlineStr">
        <is>
          <t>Coverage; pre-reg installs</t>
        </is>
      </c>
    </row>
    <row r="11" ht="52" customHeight="1">
      <c r="A11" s="30" t="inlineStr">
        <is>
          <t>Weeks 6–12</t>
        </is>
      </c>
      <c r="B11" s="10" t="inlineStr">
        <is>
          <t>Mainstream paid (if certified)</t>
        </is>
      </c>
      <c r="C11" s="10" t="inlineStr">
        <is>
          <t>Once 'Verified Crypto Advertiser' + licence in place, turn on Google/Meta/X.</t>
        </is>
      </c>
      <c r="D11" s="10" t="inlineStr">
        <is>
          <t>Growth</t>
        </is>
      </c>
      <c r="E11" s="10" t="inlineStr">
        <is>
          <t>Scaled CAC</t>
        </is>
      </c>
    </row>
    <row r="12" ht="52" customHeight="1">
      <c r="A12" s="30" t="inlineStr">
        <is>
          <t>Launch window</t>
        </is>
      </c>
      <c r="B12" s="10" t="inlineStr">
        <is>
          <t>Convert</t>
        </is>
      </c>
      <c r="C12" s="10" t="inlineStr">
        <is>
          <t>Invite in waves by queue position; push app pre-reg; switch to fee-based referral; drive KYC → funded.</t>
        </is>
      </c>
      <c r="D12" s="10" t="inlineStr">
        <is>
          <t>Whole team</t>
        </is>
      </c>
      <c r="E12" s="10" t="inlineStr">
        <is>
          <t>Funded accounts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54" customWidth="1" min="3" max="3"/>
    <col width="8" customWidth="1" min="4" max="4"/>
  </cols>
  <sheetData>
    <row r="1" ht="30" customHeight="1">
      <c r="A1" s="1" t="inlineStr">
        <is>
          <t>Tooling &amp; vendors</t>
        </is>
      </c>
    </row>
    <row r="2" ht="16" customHeight="1">
      <c r="A2" s="2" t="inlineStr">
        <is>
          <t>Shortlist by function.</t>
        </is>
      </c>
    </row>
    <row r="3">
      <c r="A3" s="6" t="inlineStr">
        <is>
          <t>Function</t>
        </is>
      </c>
      <c r="B3" s="6" t="inlineStr">
        <is>
          <t>Options</t>
        </is>
      </c>
      <c r="C3" s="6" t="inlineStr">
        <is>
          <t>Notes</t>
        </is>
      </c>
      <c r="D3" s="6" t="inlineStr">
        <is>
          <t>Src</t>
        </is>
      </c>
    </row>
    <row r="4" ht="48" customHeight="1">
      <c r="A4" s="30" t="inlineStr">
        <is>
          <t>Waitlist / referral software</t>
        </is>
      </c>
      <c r="B4" s="10" t="inlineStr">
        <is>
          <t>Viral Loops, KickoffLabs, EarlyParrot, Rally, LaunchList, Waitlister</t>
        </is>
      </c>
      <c r="C4" s="10" t="inlineStr">
        <is>
          <t>Queue position + leaderboard + milestone rewards + fraud controls. Viral Loops most mature ($35/mo+/1k).</t>
        </is>
      </c>
      <c r="D4" s="10" t="inlineStr">
        <is>
          <t>2,5</t>
        </is>
      </c>
    </row>
    <row r="5" ht="48" customHeight="1">
      <c r="A5" s="30" t="inlineStr">
        <is>
          <t>Crypto-native ad networks</t>
        </is>
      </c>
      <c r="B5" s="10" t="inlineStr">
        <is>
          <t>HypeLab, Slise, Bitmedia, Coinzilla, Cointraffic, Blockchain-Ads, Mintfunnel</t>
        </is>
      </c>
      <c r="C5" s="10" t="inlineStr">
        <is>
          <t>On-chain/wallet targeting; native &gt; display 2–3x; cost-per-on-chain-action tracking. Start paid here.</t>
        </is>
      </c>
      <c r="D5" s="10" t="inlineStr">
        <is>
          <t>9</t>
        </is>
      </c>
    </row>
    <row r="6" ht="48" customHeight="1">
      <c r="A6" s="30" t="inlineStr">
        <is>
          <t>Attention / creator</t>
        </is>
      </c>
      <c r="B6" s="10" t="inlineStr">
        <is>
          <t>Kaito Studio (X/YT/TikTok marketplace + mindshare)</t>
        </is>
      </c>
      <c r="C6" s="10" t="inlineStr">
        <is>
          <t>yap-to-earn sunset Jan 2026; use the creator marketplace, not post-to-earn.</t>
        </is>
      </c>
      <c r="D6" s="10" t="inlineStr">
        <is>
          <t>10</t>
        </is>
      </c>
    </row>
    <row r="7" ht="48" customHeight="1">
      <c r="A7" s="30" t="inlineStr">
        <is>
          <t>Newsletters</t>
        </is>
      </c>
      <c r="B7" s="10" t="inlineStr">
        <is>
          <t>Milk Road (~$10–25k/send, 330k), Bankless, The Defiant</t>
        </is>
      </c>
      <c r="C7" s="10" t="inlineStr">
        <is>
          <t>Native in-voice ads; awareness + signups.</t>
        </is>
      </c>
      <c r="D7" s="10" t="inlineStr">
        <is>
          <t>11</t>
        </is>
      </c>
    </row>
    <row r="8" ht="48" customHeight="1">
      <c r="A8" s="30" t="inlineStr">
        <is>
          <t>KOL management</t>
        </is>
      </c>
      <c r="B8" s="10" t="inlineStr">
        <is>
          <t>In-house cohort (sourced) + platforms (theKOLLAB etc.)</t>
        </is>
      </c>
      <c r="C8" s="10" t="inlineStr">
        <is>
          <t>Vested + FTC-disclosed; 'Paid Partnership' labels on X.</t>
        </is>
      </c>
      <c r="D8" s="10" t="inlineStr">
        <is>
          <t>6</t>
        </is>
      </c>
    </row>
    <row r="9" ht="48" customHeight="1">
      <c r="A9" s="30" t="inlineStr">
        <is>
          <t>CRM / email / attribution</t>
        </is>
      </c>
      <c r="B9" s="10" t="inlineStr">
        <is>
          <t>(Existing LCX stack) + UTM + referral tool analytics</t>
        </is>
      </c>
      <c r="C9" s="10" t="inlineStr">
        <is>
          <t>Welcome series (open 52–68% on email 1); track signup→verified→funded.</t>
        </is>
      </c>
      <c r="D9" s="10" t="inlineStr">
        <is>
          <t>—</t>
        </is>
      </c>
    </row>
    <row r="10" ht="48" customHeight="1">
      <c r="A10" s="30" t="inlineStr">
        <is>
          <t>KYC / identity</t>
        </is>
      </c>
      <c r="B10" s="10" t="inlineStr">
        <is>
          <t>Sumsub / Persona (from Phase 2)</t>
        </is>
      </c>
      <c r="C10" s="10" t="inlineStr">
        <is>
          <t>Gate referral rewards on KYC to kill sybils.</t>
        </is>
      </c>
      <c r="D10" s="10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88" customWidth="1" min="3" max="3"/>
  </cols>
  <sheetData>
    <row r="1" ht="30" customHeight="1">
      <c r="A1" s="1" t="inlineStr">
        <is>
          <t>Sources</t>
        </is>
      </c>
    </row>
    <row r="2" ht="16" customHeight="1">
      <c r="A2" s="2" t="inlineStr">
        <is>
          <t>Public sources consulted, July 2026.</t>
        </is>
      </c>
    </row>
    <row r="3">
      <c r="A3" s="31" t="inlineStr">
        <is>
          <t>#</t>
        </is>
      </c>
      <c r="B3" s="31" t="inlineStr">
        <is>
          <t>Source</t>
        </is>
      </c>
      <c r="C3" s="31" t="inlineStr">
        <is>
          <t>URL</t>
        </is>
      </c>
    </row>
    <row r="4">
      <c r="A4" s="12" t="n">
        <v>1</v>
      </c>
      <c r="B4" s="10" t="inlineStr">
        <is>
          <t>SEC &amp; CFTC joint interpretation on crypto (airdrops/consideration), Mar 2026 — Ropes &amp; Gray</t>
        </is>
      </c>
      <c r="C4" s="32" t="inlineStr">
        <is>
          <t>https://www.ropesgray.com/en/insights/alerts/2026/03/sec-and-cftc-issue-landmark-joint-guidance-on-classification-of-crypto-assets</t>
        </is>
      </c>
    </row>
    <row r="5">
      <c r="A5" s="12" t="n">
        <v>2</v>
      </c>
      <c r="B5" s="10" t="inlineStr">
        <is>
          <t>How Robinhood's referral built a 1M-user waitlist — Viral Loops</t>
        </is>
      </c>
      <c r="C5" s="32" t="inlineStr">
        <is>
          <t>https://viral-loops.com/blog/how-robinhoods-referral-built-a-1m-user/</t>
        </is>
      </c>
    </row>
    <row r="6">
      <c r="A6" s="12" t="n">
        <v>3</v>
      </c>
      <c r="B6" s="10" t="inlineStr">
        <is>
          <t>Crypto advertising policies (Google/Meta/X) 2026</t>
        </is>
      </c>
      <c r="C6" s="32" t="inlineStr">
        <is>
          <t>https://www.acquire.fi/blog/crypto-advertising-policies</t>
        </is>
      </c>
    </row>
    <row r="7">
      <c r="A7" s="12" t="n">
        <v>4</v>
      </c>
      <c r="B7" s="10" t="inlineStr">
        <is>
          <t>Complete guide to crypto advertising 2026 — Coinbound</t>
        </is>
      </c>
      <c r="C7" s="32" t="inlineStr">
        <is>
          <t>https://coinbound.io/a-complete-guide-to-crypto-advertising/</t>
        </is>
      </c>
    </row>
    <row r="8">
      <c r="A8" s="12" t="n">
        <v>5</v>
      </c>
      <c r="B8" s="10" t="inlineStr">
        <is>
          <t>Best pre-launch waitlist tools 2026 — Waitlister</t>
        </is>
      </c>
      <c r="C8" s="32" t="inlineStr">
        <is>
          <t>https://waitlister.me/growth-hub/guides/best-pre-launch-waitlist-tools</t>
        </is>
      </c>
    </row>
    <row r="9">
      <c r="A9" s="12" t="n">
        <v>6</v>
      </c>
      <c r="B9" s="10" t="inlineStr">
        <is>
          <t>FTC influencer disclosure guidelines 2026</t>
        </is>
      </c>
      <c r="C9" s="32" t="inlineStr">
        <is>
          <t>https://www.webtonic.io/blog/ftc-guidelines-for-influencers-6-rules-to-stay-compliant-in-2026</t>
        </is>
      </c>
    </row>
    <row r="10">
      <c r="A10" s="12" t="n">
        <v>7</v>
      </c>
      <c r="B10" s="10" t="inlineStr">
        <is>
          <t>Compliant crypto paid advertising playbook 2026 — Surgence</t>
        </is>
      </c>
      <c r="C10" s="32" t="inlineStr">
        <is>
          <t>https://surgence.io/blog/crypto-paid-advertising-playbook</t>
        </is>
      </c>
    </row>
    <row r="11">
      <c r="A11" s="12" t="n">
        <v>8</v>
      </c>
      <c r="B11" s="10" t="inlineStr">
        <is>
          <t>SEC crypto asset classification / Howey framework 2026 — WilmerHale</t>
        </is>
      </c>
      <c r="C11" s="32" t="inlineStr">
        <is>
          <t>https://www.wilmerhale.com/en/insights/client-alerts/20260324-the-secs-new-framework-for-crypto-assets-under-howey</t>
        </is>
      </c>
    </row>
    <row r="12">
      <c r="A12" s="12" t="n">
        <v>9</v>
      </c>
      <c r="B12" s="10" t="inlineStr">
        <is>
          <t>Crypto ad benchmarks 2026 (CTR/CPM/CPA) — HypeLab</t>
        </is>
      </c>
      <c r="C12" s="32" t="inlineStr">
        <is>
          <t>https://www.hypelab.com/blog/crypto-advertising-benchmarks-2026</t>
        </is>
      </c>
    </row>
    <row r="13">
      <c r="A13" s="12" t="n">
        <v>10</v>
      </c>
      <c r="B13" s="10" t="inlineStr">
        <is>
          <t>What is Kaito — Studio, Markets, yap-to-earn sunset — CoinGecko</t>
        </is>
      </c>
      <c r="C13" s="32" t="inlineStr">
        <is>
          <t>https://www.coingecko.com/learn/what-is-kaito-earn-yap-points</t>
        </is>
      </c>
    </row>
    <row r="14">
      <c r="A14" s="12" t="n">
        <v>11</v>
      </c>
      <c r="B14" s="10" t="inlineStr">
        <is>
          <t>Milk Road newsletter sponsorship / strategy</t>
        </is>
      </c>
      <c r="C14" s="32" t="inlineStr">
        <is>
          <t>https://newsletterbear.com/milk-road-case-study-crypto-ai-newsletter-strategy/</t>
        </is>
      </c>
    </row>
    <row r="15">
      <c r="A15" s="12" t="n">
        <v>12</v>
      </c>
      <c r="B15" s="10" t="inlineStr">
        <is>
          <t>Crypto user acquisition cost benchmarks 2026 — HypeLab</t>
        </is>
      </c>
      <c r="C15" s="32" t="inlineStr">
        <is>
          <t>https://www.hypelab.com/blog/crypto-user-acquisition-cost-benchmarks-2026</t>
        </is>
      </c>
    </row>
    <row r="16">
      <c r="A16" s="12" t="n">
        <v>13</v>
      </c>
      <c r="B16" s="10" t="inlineStr">
        <is>
          <t>Waitlist benchmarks &amp; conversion rates — GetWaitlist</t>
        </is>
      </c>
      <c r="C16" s="32" t="inlineStr">
        <is>
          <t>https://getwaitlist.com/blog/waitlist-benchmarks-conversion-rates</t>
        </is>
      </c>
    </row>
    <row r="17">
      <c r="A17" s="12" t="n">
        <v>14</v>
      </c>
      <c r="B17" s="10" t="inlineStr">
        <is>
          <t>Crypto community growth (Telegram/Discord/X) 2026</t>
        </is>
      </c>
      <c r="C17" s="32" t="inlineStr">
        <is>
          <t>https://thekollab.io/articles/how-to-build-strong-crypto-community/</t>
        </is>
      </c>
    </row>
    <row r="18">
      <c r="A18" s="12" t="n">
        <v>15</v>
      </c>
      <c r="B18" s="10" t="inlineStr">
        <is>
          <t>Google Play pre-registration &amp; ASO</t>
        </is>
      </c>
      <c r="C18" s="32" t="inlineStr">
        <is>
          <t>https://appradar.com/academy/google-play-pre-registration-create-hype-for-apps-before-launch</t>
        </is>
      </c>
    </row>
    <row r="19">
      <c r="A19" s="12" t="n">
        <v>16</v>
      </c>
      <c r="B19" s="10" t="inlineStr">
        <is>
          <t>Crypto wallet referral program playbook / sybil controls 2026</t>
        </is>
      </c>
      <c r="C19" s="32" t="inlineStr">
        <is>
          <t>https://track360.io/blog/crypto-wallet-growth-referral-program-playbook-2026</t>
        </is>
      </c>
    </row>
    <row r="20">
      <c r="A20" s="12" t="n">
        <v>17</v>
      </c>
      <c r="B20" s="10" t="inlineStr">
        <is>
          <t>Coinbase / Kraken referral programs 2026 (US compliant)</t>
        </is>
      </c>
      <c r="C20" s="32" t="inlineStr">
        <is>
          <t>https://www.bitget.com/academy/how-crypto-referral-bonuses-work-in-america-comprehensive-guide-2026</t>
        </is>
      </c>
    </row>
    <row r="21">
      <c r="A21" s="12" t="n">
        <v>18</v>
      </c>
      <c r="B21" s="10" t="inlineStr">
        <is>
          <t>X paid partnership / crypto promotion labels 2026</t>
        </is>
      </c>
      <c r="C21" s="32" t="inlineStr">
        <is>
          <t>https://www.legalnodes.com/article/crypto-ad-guidelines-meta-google-twitter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2026-07-23T15:50:55Z</dcterms:created>
  <dcterms:modified xmlns:dcterms="http://purl.org/dc/terms/" xmlns:xsi="http://www.w3.org/2001/XMLSchema-instance" xsi:type="dcterms:W3CDTF">2026-07-23T15:50:55Z</dcterms:modified>
</cp:coreProperties>
</file>