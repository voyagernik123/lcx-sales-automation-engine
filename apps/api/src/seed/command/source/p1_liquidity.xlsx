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corecard" sheetId="2" state="visible" r:id="rId4"/>
    <sheet name="Capability Detail" sheetId="3" state="visible" r:id="rId5"/>
    <sheet name="Connectivity &amp; Settlement" sheetId="4" state="visible" r:id="rId6"/>
    <sheet name="RFI Tracker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<sst xmlns="http://schemas.openxmlformats.org/spreadsheetml/2006/main" count="365" uniqueCount="326">
  <si>
    <t xml:space="preserve">LCX US · Phase 1 — Liquidity Partner Comparison</t>
  </si>
  <si>
    <t xml:space="preserve">Decision-grade research pack · prepared 23 July 2026 · Confidential — internal</t>
  </si>
  <si>
    <t xml:space="preserve">Purpose</t>
  </si>
  <si>
    <t xml:space="preserve">Evaluate liquidity providers (LPs) equal to or better than the incumbent B2C2 for the LCX US spot exchange, where LCX acts as principal in the middle (buys/sells from the LP, buys/sells to the user), custody remains with LCX, and the LP also supplies OTC, RFQ and options/derivatives flow that LCX plugs into.</t>
  </si>
  <si>
    <t xml:space="preserve">How to read this pack</t>
  </si>
  <si>
    <t xml:space="preserve">  • Scorecard</t>
  </si>
  <si>
    <t xml:space="preserve">Weighted, capability-based scoring of 9 principal LPs vs the B2C2 baseline. Scores are an analyst assessment (1–5) from public research; weights are adjustable in row 4 and every total recomputes.</t>
  </si>
  <si>
    <t xml:space="preserve">  • Capability Detail</t>
  </si>
  <si>
    <t xml:space="preserve">The underlying facts behind each score — model, US entity/licences, asset breadth, OTC/RFQ/options, settlement, whether they serve exchanges as an LP — with source references.</t>
  </si>
  <si>
    <t xml:space="preserve">  • Connectivity &amp; Settlement</t>
  </si>
  <si>
    <t xml:space="preserve">Non-LP layers that make the model work: aggregation (Talos), embedded rails (Zero Hash), prime brokers (Coinbase Prime, Ripple Prime), an execution-only ECN (Crossover), and off-exchange settlement networks (Fireblocks, Copper, BitGo) that let custody stay at LCX.</t>
  </si>
  <si>
    <t xml:space="preserve">  • RFI Tracker</t>
  </si>
  <si>
    <t xml:space="preserve">A ready-to-use template to collect the commercial terms (spreads, credit/pre-funding, fees, min size, SLA) that public research cannot provide — fill during outreach.</t>
  </si>
  <si>
    <t xml:space="preserve">  • Sources</t>
  </si>
  <si>
    <t xml:space="preserve">Every URL used, numbered; source numbers are cited in Capability Detail.</t>
  </si>
  <si>
    <t xml:space="preserve">Scoring key</t>
  </si>
  <si>
    <t xml:space="preserve">5 = best-in-class · 4 = strong · 3 = adequate · 2 = limited · 1 = weak/absent. Weighted score is out of 5.00.</t>
  </si>
  <si>
    <t xml:space="preserve">Tier bands</t>
  </si>
  <si>
    <t xml:space="preserve">Tier 1 ≥ 4.30 · Tier 2 3.90–4.29 · Tier 3 (specialist) &lt; 3.90. Bands are computed from the weighted score.</t>
  </si>
  <si>
    <t xml:space="preserve">IMPORTANT — what scores are / are not</t>
  </si>
  <si>
    <t xml:space="preserve">Scores reflect CAPABILITY and fit from public information as of Jul 2026. They are NOT a commercial ranking: actual spreads, credit lines, minimums and fees are decisive and can only be confirmed via the RFI. Nothing here is legal advice; US regulatory/entity items must be confirmed with counsel and compliance.</t>
  </si>
  <si>
    <t xml:space="preserve">Model note to resolve</t>
  </si>
  <si>
    <t xml:space="preserve">The USA action plan says 'segregated order books'. That implies LPs stream quotes into an LCX order book (CLOB + market-making) rather than pure riskless-principal RFQ. Both are viable and most Tier-1 LPs support either. Confirm the intended model — it changes the integration (streaming/ESP vs RFQ) and the credit/settlement design.</t>
  </si>
  <si>
    <t xml:space="preserve">Scorecard — Principal Liquidity Providers vs B2C2</t>
  </si>
  <si>
    <t xml:space="preserve">Capability-based analyst scoring (1–5). Weights in row 4 are adjustable; totals recompute. Commercial terms pending RFI.</t>
  </si>
  <si>
    <t xml:space="preserve">Provider</t>
  </si>
  <si>
    <t xml:space="preserve">US Reg &amp; Entity</t>
  </si>
  <si>
    <t xml:space="preserve">Spot Liquidity (depth/breadth)</t>
  </si>
  <si>
    <t xml:space="preserve">OTC Block Desk</t>
  </si>
  <si>
    <t xml:space="preserve">Electronic RFQ / Streaming API</t>
  </si>
  <si>
    <t xml:space="preserve">Options / Derivatives Flow</t>
  </si>
  <si>
    <t xml:space="preserve">Off-Exch Settlement / Custody-at-LCX Fit</t>
  </si>
  <si>
    <t xml:space="preserve">Serves Exchanges as an LP</t>
  </si>
  <si>
    <t xml:space="preserve">Fiat Settlement Rails</t>
  </si>
  <si>
    <t xml:space="preserve">Financial Strength / Backing</t>
  </si>
  <si>
    <t xml:space="preserve">Integration / White-label Fit</t>
  </si>
  <si>
    <t xml:space="preserve">Weighted Score (/5)</t>
  </si>
  <si>
    <t xml:space="preserve">Rank</t>
  </si>
  <si>
    <t xml:space="preserve">Tier</t>
  </si>
  <si>
    <t xml:space="preserve">Weight →</t>
  </si>
  <si>
    <t xml:space="preserve">B2C2  (incumbent / baseline)</t>
  </si>
  <si>
    <t xml:space="preserve">Cumberland (DRW)</t>
  </si>
  <si>
    <t xml:space="preserve">FalconX</t>
  </si>
  <si>
    <t xml:space="preserve">Wintermute</t>
  </si>
  <si>
    <t xml:space="preserve">Galaxy Digital</t>
  </si>
  <si>
    <t xml:space="preserve">GSR</t>
  </si>
  <si>
    <t xml:space="preserve">Flowdesk</t>
  </si>
  <si>
    <t xml:space="preserve">DV Chain (DV Trading)</t>
  </si>
  <si>
    <t xml:space="preserve">Keyrock</t>
  </si>
  <si>
    <t xml:space="preserve">Provider notes</t>
  </si>
  <si>
    <t xml:space="preserve">B2C2</t>
  </si>
  <si>
    <t xml:space="preserve">Baseline. SBI-owned; first OTC LP under MiCA; US via B2C2 USA Inc (FinCEN MSB, FL); swap-dealer entity being built.</t>
  </si>
  <si>
    <t xml:space="preserve">NY BitLicense; DRW-backed; pure-play principal LP; BTC/ETH options + futures basis; gold-standard counterparty.</t>
  </si>
  <si>
    <t xml:space="preserve">First &amp; only CFTC-registered crypto swap dealer (NFA); 400+ tokens RFQ/RFS; 24/7 electronic options; full prime stack.</t>
  </si>
  <si>
    <t xml:space="preserve">~$15B/day; US HQ (NYC) opened 2025; OTC options doubling YoY; confirm US entity/licences and OES support.</t>
  </si>
  <si>
    <t xml:space="preserve">US-listed (Nasdaq GLXY); principal OTC spot+derivs; options &amp; forwards; lending/structured; 1,500+ counterparties.</t>
  </si>
  <si>
    <t xml:space="preserve">MM since 2013; 200+ assets, 25 fiat; bespoke options &amp; structured products; GSR One platform; confirm US standing.</t>
  </si>
  <si>
    <t xml:space="preserve">Market-Making-as-a-Service built for exchanges/issuers; MiCA CASP (France); 140+ venues; strongest plug-in / white-label fit.</t>
  </si>
  <si>
    <t xml:space="preserve">Chicago prop firm; white-label OTC tech stack; same-day USD/EUR/CAD fiat settlement (standout); 400+ pairs.</t>
  </si>
  <si>
    <t xml:space="preserve">MM + OTC + options; 85+ venues; has a Liechtenstein entity (same jurisdiction as LCX AG) — potential structuring convenience.</t>
  </si>
  <si>
    <t xml:space="preserve">Capability Detail — the facts behind the scores</t>
  </si>
  <si>
    <t xml:space="preserve">Public information as of July 2026. [n] = source number on the Sources tab. Commercial terms (spread/credit/fees) are RFI items.</t>
  </si>
  <si>
    <t xml:space="preserve">Model</t>
  </si>
  <si>
    <t xml:space="preserve">US entity &amp; licences</t>
  </si>
  <si>
    <t xml:space="preserve">Asset breadth</t>
  </si>
  <si>
    <t xml:space="preserve">OTC desk</t>
  </si>
  <si>
    <t xml:space="preserve">RFQ / streaming API</t>
  </si>
  <si>
    <t xml:space="preserve">Options / derivatives</t>
  </si>
  <si>
    <t xml:space="preserve">Settlement &amp; custody-at-LCX fit</t>
  </si>
  <si>
    <t xml:space="preserve">Serves exchanges as LP?</t>
  </si>
  <si>
    <t xml:space="preserve">Backing / scale</t>
  </si>
  <si>
    <t xml:space="preserve">Src</t>
  </si>
  <si>
    <t xml:space="preserve">Principal LP; electronic streaming + RFQ; no per-tx exec/settlement fee (spread-based).</t>
  </si>
  <si>
    <t xml:space="preserve">B2C2 USA Inc (Delaware, Jersey City NJ); FinCEN MSB; FL Office of Financial Regulation; SEC (private placements); CFTC/NFA swap-dealer entity in build. B2C2 OTC Ltd = UK FCA. First OTC LP authorised under MiCA.</t>
  </si>
  <si>
    <t xml:space="preserve">All major crypto + fiat; ~$1B/day stablecoin flow.</t>
  </si>
  <si>
    <t xml:space="preserve">Yes — core business.</t>
  </si>
  <si>
    <t xml:space="preserve">Yes — streams electronically in all major crypto/fiat; adding RFQ on complex derivatives.</t>
  </si>
  <si>
    <t xml:space="preserve">Launched first electronic OTC options product for crypto.</t>
  </si>
  <si>
    <t xml:space="preserve">24/7 execution + settlement; listed on the Fireblocks Network (supports off-exchange settlement to client custody).</t>
  </si>
  <si>
    <t xml:space="preserve">Yes — explicitly serves other crypto exchanges.</t>
  </si>
  <si>
    <t xml:space="preserve">Majority-owned by SBI (Japan).</t>
  </si>
  <si>
    <t xml:space="preserve">1,2,3,20</t>
  </si>
  <si>
    <t xml:space="preserve">Pure-play principal LP; API / electronic / voice; 24/7 streaming prices.</t>
  </si>
  <si>
    <t xml:space="preserve">New York BitLicense; DRW is a 30-yr Chicago prop firm.</t>
  </si>
  <si>
    <t xml:space="preserve">BTC, ETH, stablecoins, alts; &gt;$500M/day stablecoin on active days.</t>
  </si>
  <si>
    <t xml:space="preserve">Yes — one of the largest OTC desks.</t>
  </si>
  <si>
    <t xml:space="preserve">Yes — 24/7 electronic streaming + RFQ.</t>
  </si>
  <si>
    <t xml:space="preserve">Yes — BTC/ETH options, futures basis.</t>
  </si>
  <si>
    <t xml:space="preserve">Electronic settlement; DRW infra; institutional counterparties only.</t>
  </si>
  <si>
    <t xml:space="preserve">Yes — provides venue liquidity (e.g., via Liquid Mercury); Canton LP.</t>
  </si>
  <si>
    <t xml:space="preserve">DRW (30+ yrs, deep balance sheet).</t>
  </si>
  <si>
    <t xml:space="preserve">4,5,21</t>
  </si>
  <si>
    <t xml:space="preserve">Prime broker + principal LP; RFQ/RFS, ML pricing.</t>
  </si>
  <si>
    <t xml:space="preserve">First &amp; only CFTC-registered crypto swap dealer (NFA); ISDA primary member; HQ San Francisco. Standard Chartered banking partnership (2025).</t>
  </si>
  <si>
    <t xml:space="preserve">400+ tokens across crypto &amp; FX.</t>
  </si>
  <si>
    <t xml:space="preserve">Yes.</t>
  </si>
  <si>
    <t xml:space="preserve">Yes — RFQ/RFS across 400+ tokens.</t>
  </si>
  <si>
    <t xml:space="preserve">Yes — 24/7 electronic OTC options (BTC/ETH/SOL/HYPE at launch, Sep 2025); integrated into Talos RFQ.</t>
  </si>
  <si>
    <t xml:space="preserve">Full prime: trading + custody + financing + settlement; can settle to client custody (confirm OES).</t>
  </si>
  <si>
    <t xml:space="preserve">Partially — prime for funds; provides broad principal liquidity.</t>
  </si>
  <si>
    <t xml:space="preserve">Well-capitalised prime (multi-$B valuation).</t>
  </si>
  <si>
    <t xml:space="preserve">6,7,8,22</t>
  </si>
  <si>
    <t xml:space="preserve">Algorithmic principal LP / OTC desk.</t>
  </si>
  <si>
    <t xml:space="preserve">US HQ (NYC) opened 15 May 2025; hired policy lead. Confirm US registrations/entity.</t>
  </si>
  <si>
    <t xml:space="preserve">Liquidity on 60+ venues + CME; broad crypto.</t>
  </si>
  <si>
    <t xml:space="preserve">Yes — leading OTC desk.</t>
  </si>
  <si>
    <t xml:space="preserve">Yes — electronic streaming.</t>
  </si>
  <si>
    <t xml:space="preserve">Yes — OTC options; notional ~4x higher end-2025 vs start.</t>
  </si>
  <si>
    <t xml:space="preserve">Confirm off-exchange settlement support.</t>
  </si>
  <si>
    <t xml:space="preserve">Yes — LP to 60+ venues.</t>
  </si>
  <si>
    <t xml:space="preserve">~$15B/day volume.</t>
  </si>
  <si>
    <t xml:space="preserve">9,10</t>
  </si>
  <si>
    <t xml:space="preserve">Principal OTC (electronic + high-touch); lending; structured.</t>
  </si>
  <si>
    <t xml:space="preserve">US-listed on Nasdaq (GLXY); US-regulated public company.</t>
  </si>
  <si>
    <t xml:space="preserve">Broad; 1,500+ trading counterparties.</t>
  </si>
  <si>
    <t xml:space="preserve">Yes — principal-basis OTC spot + derivatives.</t>
  </si>
  <si>
    <t xml:space="preserve">Yes — electronic OTC + high-touch.</t>
  </si>
  <si>
    <t xml:space="preserve">Yes — options &amp; forwards (OTC + listed/cleared).</t>
  </si>
  <si>
    <t xml:space="preserve">24/7 coverage; blends internal + third-party venues.</t>
  </si>
  <si>
    <t xml:space="preserve">Partially — counterparty/institutional focus.</t>
  </si>
  <si>
    <t xml:space="preserve">Public company; large balance sheet.</t>
  </si>
  <si>
    <t xml:space="preserve">11,12</t>
  </si>
  <si>
    <t xml:space="preserve">Market maker + systematic OTC (GSR One platform).</t>
  </si>
  <si>
    <t xml:space="preserve">Global since 2013; confirm US entity/licences.</t>
  </si>
  <si>
    <t xml:space="preserve">200+ digital assets; 25 fiat currencies.</t>
  </si>
  <si>
    <t xml:space="preserve">Yes — systematic OTC platform.</t>
  </si>
  <si>
    <t xml:space="preserve">Yes — systematic OTC, programmatic execution.</t>
  </si>
  <si>
    <t xml:space="preserve">Yes — bespoke options &amp; structured derivatives.</t>
  </si>
  <si>
    <t xml:space="preserve">Direct wallet control features; confirm OES.</t>
  </si>
  <si>
    <t xml:space="preserve">Yes — serves exchanges; MM; Canton LP.</t>
  </si>
  <si>
    <t xml:space="preserve">Established MM (since 2013).</t>
  </si>
  <si>
    <t xml:space="preserve">13,23</t>
  </si>
  <si>
    <t xml:space="preserve">Market-Making-as-a-Service (MMaaS) + OTC + brokerage + treasury.</t>
  </si>
  <si>
    <t xml:space="preserve">MiCA CASP (France AMF); US entity — confirm.</t>
  </si>
  <si>
    <t xml:space="preserve">140+ CEX/DEX integrated; wide asset range incl. illiquid.</t>
  </si>
  <si>
    <t xml:space="preserve">Yes — OTC vertical (spot/derivatives/credit).</t>
  </si>
  <si>
    <t xml:space="preserve">Growing — scaling OTC derivatives + credit desk.</t>
  </si>
  <si>
    <t xml:space="preserve">Confirm OES; treasury services.</t>
  </si>
  <si>
    <t xml:space="preserve">Yes — MMaaS is explicitly built for exchanges &amp; issuers (best plug-in fit).</t>
  </si>
  <si>
    <t xml:space="preserve">VC-backed ($50M+ rounds).</t>
  </si>
  <si>
    <t xml:space="preserve">14,24</t>
  </si>
  <si>
    <t xml:space="preserve">Principal OTC LP + white-label OTC tech stack.</t>
  </si>
  <si>
    <t xml:space="preserve">Chicago prop firm (DV Trading, 500+ staff); confirm US licences.</t>
  </si>
  <si>
    <t xml:space="preserve">400+ tradeable pairs, 24/7.</t>
  </si>
  <si>
    <t xml:space="preserve">Yes — institutional APIs, algorithmic execution.</t>
  </si>
  <si>
    <t xml:space="preserve">Limited — not an options focus.</t>
  </si>
  <si>
    <t xml:space="preserve">Same-day USD/EUR/CAD multi-fiat settlement (standout); confirm OES.</t>
  </si>
  <si>
    <t xml:space="preserve">Yes — white-label OTC stack; EDXM International ecosystem.</t>
  </si>
  <si>
    <t xml:space="preserve">DV Trading prop firm.</t>
  </si>
  <si>
    <t xml:space="preserve">15</t>
  </si>
  <si>
    <t xml:space="preserve">MM + OTC + options + asset management.</t>
  </si>
  <si>
    <t xml:space="preserve">Entities incl. Belgium, UK, Switzerland, Liechtenstein, France, US. Confirm US licences.</t>
  </si>
  <si>
    <t xml:space="preserve">85+ venues; broad.</t>
  </si>
  <si>
    <t xml:space="preserve">Yes — options trading desk.</t>
  </si>
  <si>
    <t xml:space="preserve">Confirm OES.</t>
  </si>
  <si>
    <t xml:space="preserve">Yes — infra used by exchanges.</t>
  </si>
  <si>
    <t xml:space="preserve">VC-backed; 190 staff, 37 countries.</t>
  </si>
  <si>
    <t xml:space="preserve">16</t>
  </si>
  <si>
    <t xml:space="preserve">Connectivity, Prime &amp; Off-Exchange Settlement</t>
  </si>
  <si>
    <t xml:space="preserve">Non-LP layers that make the LCX-in-the-middle model work while custody stays at LCX.</t>
  </si>
  <si>
    <t xml:space="preserve">Category</t>
  </si>
  <si>
    <t xml:space="preserve">Role in the LCX US architecture</t>
  </si>
  <si>
    <t xml:space="preserve">US standing</t>
  </si>
  <si>
    <t xml:space="preserve">Custody-stays-at-LCX fit</t>
  </si>
  <si>
    <t xml:space="preserve">Notes</t>
  </si>
  <si>
    <t xml:space="preserve">Talos</t>
  </si>
  <si>
    <t xml:space="preserve">Aggregation / OEMS</t>
  </si>
  <si>
    <t xml:space="preserve">One integration → 70–100+ LPs (incl. B2C2, FalconX, Flowdesk) via RFQ/RFS/ESP; smart order routing, best-ex, post-trade.</t>
  </si>
  <si>
    <t xml:space="preserve">US institutional platform; Aladdin &amp; Crypto.com integrations.</t>
  </si>
  <si>
    <t xml:space="preserve">High — routing layer; LCX keeps custody &amp; settlement.</t>
  </si>
  <si>
    <t xml:space="preserve">Best route to multi-LP competition without integrating each LP directly. Adds a layer/fee.</t>
  </si>
  <si>
    <t xml:space="preserve">17</t>
  </si>
  <si>
    <t xml:space="preserve">Zero Hash</t>
  </si>
  <si>
    <t xml:space="preserve">Embedded rails (liquidity+settlement+custody+compliance)</t>
  </si>
  <si>
    <t xml:space="preserve">Turnkey B2B alternative: liquidity + settlement + regulatory cover in one API.</t>
  </si>
  <si>
    <t xml:space="preserve">NYDFS BitLicense (Zero Hash LLC &amp; Liquidity Services LLC); FinCEN MSB; money transmitter in 51 US jurisdictions; trust charter.</t>
  </si>
  <si>
    <t xml:space="preserve">LOW for the core model — Zero Hash would hold custody/licences, conflicting with 'custody stays at LCX'. Better fit for Phase 2 on/off-ramp.</t>
  </si>
  <si>
    <t xml:space="preserve">Fastest time-to-market but cedes economics &amp; control. Powers Stripe, Interactive Brokers; ~15% of US embedded crypto volume.</t>
  </si>
  <si>
    <t xml:space="preserve">18</t>
  </si>
  <si>
    <t xml:space="preserve">Coinbase Prime</t>
  </si>
  <si>
    <t xml:space="preserve">Prime broker (custody+trade+finance)</t>
  </si>
  <si>
    <t xml:space="preserve">Potential liquidity + financing source; multi-venue execution.</t>
  </si>
  <si>
    <t xml:space="preserve">Coinbase Custody Trust = NY qualified custodian; US public co.</t>
  </si>
  <si>
    <t xml:space="preserve">Medium — custody is Coinbase's; usable as an LP/venue but competitor-adjacent.</t>
  </si>
  <si>
    <t xml:space="preserve">$350B+ AUC; committed market-making; cross-margin.</t>
  </si>
  <si>
    <t xml:space="preserve">19</t>
  </si>
  <si>
    <t xml:space="preserve">Ripple Prime (ex-Hidden Road)</t>
  </si>
  <si>
    <t xml:space="preserve">Prime broker / clearing</t>
  </si>
  <si>
    <t xml:space="preserve">Prime brokerage, credit &amp; clearing; cross-margin; RLUSD/XRP integration.</t>
  </si>
  <si>
    <t xml:space="preserve">US digital-asset spot prime brokerage; clears $3T+/yr, 300+ institutions.</t>
  </si>
  <si>
    <t xml:space="preserve">Medium — prime model; confirm settle-to-LCX-custody.</t>
  </si>
  <si>
    <t xml:space="preserve">Acquired by Ripple for $1.25B (closed Oct 2025); rebranded Ripple Prime.</t>
  </si>
  <si>
    <t xml:space="preserve">25,26</t>
  </si>
  <si>
    <t xml:space="preserve">Crossover Markets (CROSSx)</t>
  </si>
  <si>
    <t xml:space="preserve">Execution-only ECN (non-custodial)</t>
  </si>
  <si>
    <t xml:space="preserve">Agency execution venue; you pick your own credit counterparties; microsecond matching.</t>
  </si>
  <si>
    <t xml:space="preserve">US-domiciled institutions authorised for select spot since Jun 2025.</t>
  </si>
  <si>
    <t xml:space="preserve">HIGH — non-custodial, holds no client funds/assets, no counterparty risk. Strong 'custody stays at LCX' fit.</t>
  </si>
  <si>
    <t xml:space="preserve">$5B notional Oct 2025. Complements (not replaces) principal LPs.</t>
  </si>
  <si>
    <t xml:space="preserve">27,28</t>
  </si>
  <si>
    <t xml:space="preserve">Fireblocks Network / Off-Exchange</t>
  </si>
  <si>
    <t xml:space="preserve">Off-exchange settlement</t>
  </si>
  <si>
    <t xml:space="preserve">P2P settlement + MPC custody so trades settle without leaving assets at the LP.</t>
  </si>
  <si>
    <t xml:space="preserve">2,000+ institutions; used by Deribit (OES), HTX.</t>
  </si>
  <si>
    <t xml:space="preserve">HIGH — lets LCX trade with LPs while retaining custody. B2C2 is on the network.</t>
  </si>
  <si>
    <t xml:space="preserve">The likely settlement backbone for the LCX-in-the-middle model.</t>
  </si>
  <si>
    <t xml:space="preserve">29</t>
  </si>
  <si>
    <t xml:space="preserve">Copper ClearLoop</t>
  </si>
  <si>
    <t xml:space="preserve">Assets stay in Copper MPC custody; net settlement to connected venues.</t>
  </si>
  <si>
    <t xml:space="preserve">Copper = UAE VASP (confirm US applicability).</t>
  </si>
  <si>
    <t xml:space="preserve">HIGH (custody at Copper, not the LP) — but note custody would sit with Copper, not LCX, unless LCX self-custodies and only uses OES rails.</t>
  </si>
  <si>
    <t xml:space="preserve">Connects Coinbase, OKX, Bybit, Deribit; $50B+/mo notional.</t>
  </si>
  <si>
    <t xml:space="preserve">29,30</t>
  </si>
  <si>
    <t xml:space="preserve">BitGo Go Network</t>
  </si>
  <si>
    <t xml:space="preserve">Off-exchange settlement / qualified custody</t>
  </si>
  <si>
    <t xml:space="preserve">Off-exchange settlement from qualified custody; pairs with Copper ClearLoop.</t>
  </si>
  <si>
    <t xml:space="preserve">BitGo = US qualified custodian (trust charters).</t>
  </si>
  <si>
    <t xml:space="preserve">HIGH — if LCX ever uses a qualified custodian; supports settle-without-moving.</t>
  </si>
  <si>
    <t xml:space="preserve">First trading model with OES from qualified custody (w/ Deribit).</t>
  </si>
  <si>
    <t xml:space="preserve">31</t>
  </si>
  <si>
    <t xml:space="preserve">RFI / Due-Diligence Tracker — commercial terms to collect</t>
  </si>
  <si>
    <t xml:space="preserve">Public research cannot price these. Send the RFI (see the Word dossier) and record answers here. Yellow = fill in.</t>
  </si>
  <si>
    <t xml:space="preserve">Owner / contact</t>
  </si>
  <si>
    <t xml:space="preserve">Status</t>
  </si>
  <si>
    <t xml:space="preserve">BTC/ETH spread (bps)</t>
  </si>
  <si>
    <t xml:space="preserve">Majors spread (bps)</t>
  </si>
  <si>
    <t xml:space="preserve">Alt spread (bps)</t>
  </si>
  <si>
    <t xml:space="preserve">Min ticket ($)</t>
  </si>
  <si>
    <t xml:space="preserve">Max single ticket ($)</t>
  </si>
  <si>
    <t xml:space="preserve">Credit line / pre-funding</t>
  </si>
  <si>
    <t xml:space="preserve">Settlement cycle</t>
  </si>
  <si>
    <t xml:space="preserve">OES supported (FB/Copper/BitGo)</t>
  </si>
  <si>
    <t xml:space="preserve">Fee model</t>
  </si>
  <si>
    <t xml:space="preserve"># assets covered</t>
  </si>
  <si>
    <t xml:space="preserve">Fiat supported</t>
  </si>
  <si>
    <t xml:space="preserve">API (FIX/REST/WS)</t>
  </si>
  <si>
    <t xml:space="preserve">OTC desk (Y/N)</t>
  </si>
  <si>
    <t xml:space="preserve">RFQ (Y/N)</t>
  </si>
  <si>
    <t xml:space="preserve">Options (Y/N)</t>
  </si>
  <si>
    <t xml:space="preserve">Uptime SLA</t>
  </si>
  <si>
    <t xml:space="preserve">References</t>
  </si>
  <si>
    <t xml:space="preserve">EXAMPLE — B2C2</t>
  </si>
  <si>
    <t xml:space="preserve">Nik / BD</t>
  </si>
  <si>
    <t xml:space="preserve">In discussion</t>
  </si>
  <si>
    <t xml:space="preserve">2–4</t>
  </si>
  <si>
    <t xml:space="preserve">5–12</t>
  </si>
  <si>
    <t xml:space="preserve">20–60</t>
  </si>
  <si>
    <t xml:space="preserve">10,000</t>
  </si>
  <si>
    <t xml:space="preserve">5,000,000</t>
  </si>
  <si>
    <t xml:space="preserve">Bilateral credit, T+1 net</t>
  </si>
  <si>
    <t xml:space="preserve">24/7 / T+1</t>
  </si>
  <si>
    <t xml:space="preserve">Fireblocks</t>
  </si>
  <si>
    <t xml:space="preserve">Spread only, no per-tx fee</t>
  </si>
  <si>
    <t xml:space="preserve">300+</t>
  </si>
  <si>
    <t xml:space="preserve">USD, EUR, GBP</t>
  </si>
  <si>
    <t xml:space="preserve">FIX + REST + WS</t>
  </si>
  <si>
    <t xml:space="preserve">Y</t>
  </si>
  <si>
    <t xml:space="preserve">B2C2 USA Inc — FinCEN MSB, FL OFR</t>
  </si>
  <si>
    <t xml:space="preserve">99.9%</t>
  </si>
  <si>
    <t xml:space="preserve">2 exchange refs</t>
  </si>
  <si>
    <t xml:space="preserve">DV Chain</t>
  </si>
  <si>
    <t xml:space="preserve">Sources</t>
  </si>
  <si>
    <t xml:space="preserve">Public sources consulted, July 2026. Source numbers are cited on the Capability Detail &amp; Connectivity tabs.</t>
  </si>
  <si>
    <t xml:space="preserve">#</t>
  </si>
  <si>
    <t xml:space="preserve">Source</t>
  </si>
  <si>
    <t xml:space="preserve">URL</t>
  </si>
  <si>
    <t xml:space="preserve">B2C2 — Market Making &amp; Liquidity Provision</t>
  </si>
  <si>
    <t xml:space="preserve">https://www.b2c2.com/solutions/market-making-liquidity-provision</t>
  </si>
  <si>
    <t xml:space="preserve">B2C2 — first electronic OTC options for crypto</t>
  </si>
  <si>
    <t xml:space="preserve">https://www.b2c2.com/newspost/b2c2-launches-first-electronic-otc-options-trading-product-for-crypto-markets</t>
  </si>
  <si>
    <t xml:space="preserve">B2C2 — first OTC LP authorised under MiCA (Markets Media)</t>
  </si>
  <si>
    <t xml:space="preserve">https://www.marketsmedia.com/b2c2-is-first-global-otc-liquidity-provider-authorised-under-mica/</t>
  </si>
  <si>
    <t xml:space="preserve">Cumberland (DRW) — products we trade</t>
  </si>
  <si>
    <t xml:space="preserve">https://www.cumberland.io/products-we-trade</t>
  </si>
  <si>
    <t xml:space="preserve">DRW — Cumberland</t>
  </si>
  <si>
    <t xml:space="preserve">https://www.drw.com/cumberland</t>
  </si>
  <si>
    <t xml:space="preserve">FalconX — home / trading</t>
  </si>
  <si>
    <t xml:space="preserve">https://www.falconx.io/</t>
  </si>
  <si>
    <t xml:space="preserve">FalconX 24/7 OTC options (The Block)</t>
  </si>
  <si>
    <t xml:space="preserve">https://www.theblock.co/post/372700/falconx-24-7-otc-crypto-options-trading-btc-eth-sol-hype</t>
  </si>
  <si>
    <t xml:space="preserve">FalconX first CFTC-registered crypto swap dealer</t>
  </si>
  <si>
    <t xml:space="preserve">https://www.prnewswire.com/news-releases/falconx-becomes-first--only-cftc-registered-cryptocurrency-swap-dealer-301524909.html</t>
  </si>
  <si>
    <t xml:space="preserve">Wintermute officially enters US (NYC HQ)</t>
  </si>
  <si>
    <t xml:space="preserve">https://www.prnewswire.com/news-releases/wintermute-officially-enters-us-with-new-york-city-hq-and-heavyweight-crypto-hire-302455974.html</t>
  </si>
  <si>
    <t xml:space="preserve">Wintermute OTC Markets 2025 report</t>
  </si>
  <si>
    <t xml:space="preserve">https://www.wintermute.com/insights/market-color/reports/digital-asset-otc-markets-2025</t>
  </si>
  <si>
    <t xml:space="preserve">Galaxy Digital 10-Q FY2025 (Global Markets)</t>
  </si>
  <si>
    <t xml:space="preserve">https://www.sec.gov/Archives/edgar/data/1859392/000185939225000082/glxy-20250930.htm</t>
  </si>
  <si>
    <t xml:space="preserve">Galaxy launches OTC prediction-markets derivatives desk</t>
  </si>
  <si>
    <t xml:space="preserve">https://www.prnewswire.com/news-releases/galaxy-launches-institutional-otc-prediction-markets-trading-302788206.html</t>
  </si>
  <si>
    <t xml:space="preserve">GSR — enhanced systematic OTC platform (The Block)</t>
  </si>
  <si>
    <t xml:space="preserve">https://www.theblock.co/press-releases/359616/gsr-launches-enhanced-systematic-otc-platform-expanding-fx-capabilities-and-asset-coverage</t>
  </si>
  <si>
    <t xml:space="preserve">Flowdesk — OTC / MMaaS</t>
  </si>
  <si>
    <t xml:space="preserve">https://www.flowdesk.co/otc-trading/</t>
  </si>
  <si>
    <t xml:space="preserve">DV Chain — products / white-label OTC</t>
  </si>
  <si>
    <t xml:space="preserve">https://www.dvchain.co/Products</t>
  </si>
  <si>
    <t xml:space="preserve">Keyrock — OTC / market making</t>
  </si>
  <si>
    <t xml:space="preserve">https://keyrock.com/service/otc/</t>
  </si>
  <si>
    <t xml:space="preserve">Talos — trading / multi-dealer aggregation</t>
  </si>
  <si>
    <t xml:space="preserve">https://www.talos.com/our-solutions/trading</t>
  </si>
  <si>
    <t xml:space="preserve">Zero Hash — crypto trading infrastructure</t>
  </si>
  <si>
    <t xml:space="preserve">https://zerohash.com/products/crypto-trading-infrastructure</t>
  </si>
  <si>
    <t xml:space="preserve">https://www.coinbase.com/prime</t>
  </si>
  <si>
    <t xml:space="preserve">B2C2 USA Inc regulatory permissions / disclaimer</t>
  </si>
  <si>
    <t xml:space="preserve">https://www.b2c2.com/disclaimer</t>
  </si>
  <si>
    <t xml:space="preserve">Cumberland — best OTC / liquidity (Token Metrics 2025)</t>
  </si>
  <si>
    <t xml:space="preserve">https://www.tokenmetrics.com/blog/best-otc-desks-for-large-block-trades-2025</t>
  </si>
  <si>
    <t xml:space="preserve">Talos expands RFQ with FalconX electronic OTC options</t>
  </si>
  <si>
    <t xml:space="preserve">https://www.talos.com/insights/talos-expands-rfq-platform-with-falconx-electronic-otc-options-integration</t>
  </si>
  <si>
    <t xml:space="preserve">GSR Markets — OTC trading</t>
  </si>
  <si>
    <t xml:space="preserve">https://www.gsr.io/services/otc-trading</t>
  </si>
  <si>
    <t xml:space="preserve">Flowdesk joins Talos provider network</t>
  </si>
  <si>
    <t xml:space="preserve">https://www.talos.com/insights/flowdesk-extends-otc-liquidity-to-institutional-clients-via-talos-provider-network</t>
  </si>
  <si>
    <t xml:space="preserve">Ripple closes Hidden Road acquisition / Ripple Prime</t>
  </si>
  <si>
    <t xml:space="preserve">https://ripple.com/insights/ripple-closes-hidden-road-acquisition/</t>
  </si>
  <si>
    <t xml:space="preserve">Ripple Prime launches US digital-asset spot prime brokerage (LiquidityFinder)</t>
  </si>
  <si>
    <t xml:space="preserve">https://liquidityfinder.com/news/ripple-completes-acquisition-of-hidden-road-and-launches-ripple-prime-with-us-digital-asset-spot-prime-brokerage</t>
  </si>
  <si>
    <t xml:space="preserve">Crossover Markets brings crypto ECN to US (Markets Media)</t>
  </si>
  <si>
    <t xml:space="preserve">https://www.marketsmedia.com/crossover-markets-brings-crypto-ecn-model-to-u-s/</t>
  </si>
  <si>
    <t xml:space="preserve">CROSSx record $5B volume Oct 2025 (FX News Group)</t>
  </si>
  <si>
    <t xml:space="preserve">https://fxnewsgroup.com/forex-news/cryptocurrency/crossover-markets-crypto-ecn-crossx-sees-record-5b-volumes-in-october-2025/</t>
  </si>
  <si>
    <t xml:space="preserve">Fireblocks Network — institutional settlement (overview)</t>
  </si>
  <si>
    <t xml:space="preserve">https://www.fireblocks.com/network/b2c2</t>
  </si>
  <si>
    <t xml:space="preserve">https://copper.co/en/products/clearloop</t>
  </si>
  <si>
    <t xml:space="preserve">BitGo &amp; Copper off-exchange settlement from qualified custody</t>
  </si>
  <si>
    <t xml:space="preserve">https://www.bitgo.com/resources/blog/bitgo-and-copper-launch-first-trading-model-with-off-exchange-settlement/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</si>
</sst>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9"/>
      <color rgb="FF1155CC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B1F3A"/>
        <bgColor rgb="FF003300"/>
      </patternFill>
    </fill>
    <fill>
      <patternFill patternType="solid">
        <fgColor rgb="FF1F4E79"/>
        <bgColor rgb="FF1155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F2F2F2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B1F3A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0</v>
      </c>
      <c r="B1" s="1"/>
    </row>
    <row r="2" customFormat="false" ht="15.75" hidden="false" customHeight="true" outlineLevel="0" collapsed="false">
      <c r="A2" s="2" t="s">
        <v>1</v>
      </c>
      <c r="B2" s="2"/>
    </row>
    <row r="4" customFormat="false" ht="15" hidden="false" customHeight="false" outlineLevel="0" collapsed="false">
      <c r="A4" s="3"/>
    </row>
    <row r="5" customFormat="false" ht="35.05" hidden="false" customHeight="false" outlineLevel="0" collapsed="false">
      <c r="A5" s="3" t="s">
        <v>2</v>
      </c>
      <c r="B5" s="4" t="s">
        <v>3</v>
      </c>
    </row>
    <row r="6" customFormat="false" ht="15" hidden="false" customHeight="false" outlineLevel="0" collapsed="false">
      <c r="A6" s="5" t="s">
        <v>4</v>
      </c>
    </row>
    <row r="7" customFormat="false" ht="23.85" hidden="false" customHeight="false" outlineLevel="0" collapsed="false">
      <c r="A7" s="3" t="s">
        <v>5</v>
      </c>
      <c r="B7" s="4" t="s">
        <v>6</v>
      </c>
    </row>
    <row r="8" customFormat="false" ht="23.85" hidden="false" customHeight="false" outlineLevel="0" collapsed="false">
      <c r="A8" s="3" t="s">
        <v>7</v>
      </c>
      <c r="B8" s="4" t="s">
        <v>8</v>
      </c>
    </row>
    <row r="9" customFormat="false" ht="35.05" hidden="false" customHeight="false" outlineLevel="0" collapsed="false">
      <c r="A9" s="3" t="s">
        <v>9</v>
      </c>
      <c r="B9" s="4" t="s">
        <v>10</v>
      </c>
    </row>
    <row r="10" customFormat="false" ht="23.85" hidden="false" customHeight="false" outlineLevel="0" collapsed="false">
      <c r="A10" s="3" t="s">
        <v>11</v>
      </c>
      <c r="B10" s="4" t="s">
        <v>12</v>
      </c>
    </row>
    <row r="11" customFormat="false" ht="15" hidden="false" customHeight="false" outlineLevel="0" collapsed="false">
      <c r="A11" s="3" t="s">
        <v>13</v>
      </c>
      <c r="B11" s="4" t="s">
        <v>14</v>
      </c>
    </row>
    <row r="12" customFormat="false" ht="15" hidden="false" customHeight="false" outlineLevel="0" collapsed="false">
      <c r="A12" s="3" t="s">
        <v>15</v>
      </c>
      <c r="B12" s="4" t="s">
        <v>16</v>
      </c>
    </row>
    <row r="13" customFormat="false" ht="15" hidden="false" customHeight="false" outlineLevel="0" collapsed="false">
      <c r="A13" s="3" t="s">
        <v>17</v>
      </c>
      <c r="B13" s="4" t="s">
        <v>18</v>
      </c>
    </row>
    <row r="14" customFormat="false" ht="35.05" hidden="false" customHeight="false" outlineLevel="0" collapsed="false">
      <c r="A14" s="3" t="s">
        <v>19</v>
      </c>
      <c r="B14" s="4" t="s">
        <v>20</v>
      </c>
    </row>
    <row r="15" customFormat="false" ht="35.05" hidden="false" customHeight="false" outlineLevel="0" collapsed="false">
      <c r="A15" s="3" t="s">
        <v>21</v>
      </c>
      <c r="B15" s="4" t="s">
        <v>22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11" min="2" style="0" width="11"/>
    <col collapsed="false" customWidth="true" hidden="false" outlineLevel="0" max="12" min="12" style="0" width="15"/>
    <col collapsed="false" customWidth="true" hidden="false" outlineLevel="0" max="13" min="13" style="0" width="7"/>
    <col collapsed="false" customWidth="true" hidden="false" outlineLevel="0" max="14" min="14" style="0" width="16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.75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57.75" hidden="false" customHeight="true" outlineLevel="0" collapsed="false">
      <c r="A3" s="6" t="s">
        <v>25</v>
      </c>
      <c r="B3" s="6" t="s">
        <v>26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  <c r="J3" s="6" t="s">
        <v>34</v>
      </c>
      <c r="K3" s="6" t="s">
        <v>35</v>
      </c>
      <c r="L3" s="6" t="s">
        <v>36</v>
      </c>
      <c r="M3" s="6" t="s">
        <v>37</v>
      </c>
      <c r="N3" s="6" t="s">
        <v>38</v>
      </c>
    </row>
    <row r="4" customFormat="false" ht="15" hidden="false" customHeight="false" outlineLevel="0" collapsed="false">
      <c r="A4" s="7" t="s">
        <v>39</v>
      </c>
      <c r="B4" s="8" t="n">
        <v>0.15</v>
      </c>
      <c r="C4" s="8" t="n">
        <v>0.15</v>
      </c>
      <c r="D4" s="8" t="n">
        <v>0.1</v>
      </c>
      <c r="E4" s="8" t="n">
        <v>0.12</v>
      </c>
      <c r="F4" s="8" t="n">
        <v>0.12</v>
      </c>
      <c r="G4" s="8" t="n">
        <v>0.12</v>
      </c>
      <c r="H4" s="8" t="n">
        <v>0.1</v>
      </c>
      <c r="I4" s="8" t="n">
        <v>0.05</v>
      </c>
      <c r="J4" s="8" t="n">
        <v>0.05</v>
      </c>
      <c r="K4" s="8" t="n">
        <v>0.04</v>
      </c>
      <c r="L4" s="9"/>
      <c r="M4" s="9"/>
      <c r="N4" s="9"/>
    </row>
    <row r="5" customFormat="false" ht="15" hidden="false" customHeight="false" outlineLevel="0" collapsed="false">
      <c r="A5" s="10" t="s">
        <v>40</v>
      </c>
      <c r="B5" s="11" t="n">
        <v>4</v>
      </c>
      <c r="C5" s="11" t="n">
        <v>4</v>
      </c>
      <c r="D5" s="11" t="n">
        <v>5</v>
      </c>
      <c r="E5" s="11" t="n">
        <v>5</v>
      </c>
      <c r="F5" s="11" t="n">
        <v>4</v>
      </c>
      <c r="G5" s="11" t="n">
        <v>4</v>
      </c>
      <c r="H5" s="11" t="n">
        <v>5</v>
      </c>
      <c r="I5" s="11" t="n">
        <v>4</v>
      </c>
      <c r="J5" s="11" t="n">
        <v>5</v>
      </c>
      <c r="K5" s="11" t="n">
        <v>4</v>
      </c>
      <c r="L5" s="12" t="n">
        <f aca="false">SUMPRODUCT(B5:K5,$B$4:$K$4)</f>
        <v>4.37</v>
      </c>
      <c r="M5" s="11" t="n">
        <f aca="false">RANK(L5,$L$5:$L$13)</f>
        <v>3</v>
      </c>
      <c r="N5" s="11" t="str">
        <f aca="false">IF(L5&gt;=4.3,"Tier 1",IF(L5&gt;=3.9,"Tier 2","Tier 3 (specialist)"))</f>
        <v>Tier 1</v>
      </c>
    </row>
    <row r="6" customFormat="false" ht="15" hidden="false" customHeight="false" outlineLevel="0" collapsed="false">
      <c r="A6" s="13" t="s">
        <v>41</v>
      </c>
      <c r="B6" s="11" t="n">
        <v>5</v>
      </c>
      <c r="C6" s="11" t="n">
        <v>5</v>
      </c>
      <c r="D6" s="11" t="n">
        <v>5</v>
      </c>
      <c r="E6" s="11" t="n">
        <v>5</v>
      </c>
      <c r="F6" s="11" t="n">
        <v>4</v>
      </c>
      <c r="G6" s="11" t="n">
        <v>4</v>
      </c>
      <c r="H6" s="11" t="n">
        <v>4</v>
      </c>
      <c r="I6" s="11" t="n">
        <v>4</v>
      </c>
      <c r="J6" s="11" t="n">
        <v>5</v>
      </c>
      <c r="K6" s="11" t="n">
        <v>4</v>
      </c>
      <c r="L6" s="12" t="n">
        <f aca="false">SUMPRODUCT(B6:K6,$B$4:$K$4)</f>
        <v>4.57</v>
      </c>
      <c r="M6" s="11" t="n">
        <f aca="false">RANK(L6,$L$5:$L$13)</f>
        <v>2</v>
      </c>
      <c r="N6" s="11" t="str">
        <f aca="false">IF(L6&gt;=4.3,"Tier 1",IF(L6&gt;=3.9,"Tier 2","Tier 3 (specialist)"))</f>
        <v>Tier 1</v>
      </c>
    </row>
    <row r="7" customFormat="false" ht="15" hidden="false" customHeight="false" outlineLevel="0" collapsed="false">
      <c r="A7" s="13" t="s">
        <v>42</v>
      </c>
      <c r="B7" s="11" t="n">
        <v>5</v>
      </c>
      <c r="C7" s="11" t="n">
        <v>5</v>
      </c>
      <c r="D7" s="11" t="n">
        <v>5</v>
      </c>
      <c r="E7" s="11" t="n">
        <v>5</v>
      </c>
      <c r="F7" s="11" t="n">
        <v>5</v>
      </c>
      <c r="G7" s="11" t="n">
        <v>4</v>
      </c>
      <c r="H7" s="11" t="n">
        <v>4</v>
      </c>
      <c r="I7" s="11" t="n">
        <v>4</v>
      </c>
      <c r="J7" s="11" t="n">
        <v>5</v>
      </c>
      <c r="K7" s="11" t="n">
        <v>4</v>
      </c>
      <c r="L7" s="12" t="n">
        <f aca="false">SUMPRODUCT(B7:K7,$B$4:$K$4)</f>
        <v>4.69</v>
      </c>
      <c r="M7" s="11" t="n">
        <f aca="false">RANK(L7,$L$5:$L$13)</f>
        <v>1</v>
      </c>
      <c r="N7" s="11" t="str">
        <f aca="false">IF(L7&gt;=4.3,"Tier 1",IF(L7&gt;=3.9,"Tier 2","Tier 3 (specialist)"))</f>
        <v>Tier 1</v>
      </c>
    </row>
    <row r="8" customFormat="false" ht="15" hidden="false" customHeight="false" outlineLevel="0" collapsed="false">
      <c r="A8" s="13" t="s">
        <v>43</v>
      </c>
      <c r="B8" s="11" t="n">
        <v>3</v>
      </c>
      <c r="C8" s="11" t="n">
        <v>5</v>
      </c>
      <c r="D8" s="11" t="n">
        <v>5</v>
      </c>
      <c r="E8" s="11" t="n">
        <v>5</v>
      </c>
      <c r="F8" s="11" t="n">
        <v>4</v>
      </c>
      <c r="G8" s="11" t="n">
        <v>3</v>
      </c>
      <c r="H8" s="11" t="n">
        <v>4</v>
      </c>
      <c r="I8" s="11" t="n">
        <v>3</v>
      </c>
      <c r="J8" s="11" t="n">
        <v>4</v>
      </c>
      <c r="K8" s="11" t="n">
        <v>4</v>
      </c>
      <c r="L8" s="12" t="n">
        <f aca="false">SUMPRODUCT(B8:K8,$B$4:$K$4)</f>
        <v>4.05</v>
      </c>
      <c r="M8" s="11" t="n">
        <f aca="false">RANK(L8,$L$5:$L$13)</f>
        <v>6</v>
      </c>
      <c r="N8" s="11" t="str">
        <f aca="false">IF(L8&gt;=4.3,"Tier 1",IF(L8&gt;=3.9,"Tier 2","Tier 3 (specialist)"))</f>
        <v>Tier 2</v>
      </c>
    </row>
    <row r="9" customFormat="false" ht="15" hidden="false" customHeight="false" outlineLevel="0" collapsed="false">
      <c r="A9" s="13" t="s">
        <v>44</v>
      </c>
      <c r="B9" s="11" t="n">
        <v>5</v>
      </c>
      <c r="C9" s="11" t="n">
        <v>4</v>
      </c>
      <c r="D9" s="11" t="n">
        <v>5</v>
      </c>
      <c r="E9" s="11" t="n">
        <v>4</v>
      </c>
      <c r="F9" s="11" t="n">
        <v>4</v>
      </c>
      <c r="G9" s="11" t="n">
        <v>4</v>
      </c>
      <c r="H9" s="11" t="n">
        <v>3</v>
      </c>
      <c r="I9" s="11" t="n">
        <v>4</v>
      </c>
      <c r="J9" s="11" t="n">
        <v>5</v>
      </c>
      <c r="K9" s="11" t="n">
        <v>3</v>
      </c>
      <c r="L9" s="12" t="n">
        <f aca="false">SUMPRODUCT(B9:K9,$B$4:$K$4)</f>
        <v>4.16</v>
      </c>
      <c r="M9" s="11" t="n">
        <f aca="false">RANK(L9,$L$5:$L$13)</f>
        <v>4</v>
      </c>
      <c r="N9" s="11" t="str">
        <f aca="false">IF(L9&gt;=4.3,"Tier 1",IF(L9&gt;=3.9,"Tier 2","Tier 3 (specialist)"))</f>
        <v>Tier 2</v>
      </c>
    </row>
    <row r="10" customFormat="false" ht="15" hidden="false" customHeight="false" outlineLevel="0" collapsed="false">
      <c r="A10" s="13" t="s">
        <v>45</v>
      </c>
      <c r="B10" s="11" t="n">
        <v>3</v>
      </c>
      <c r="C10" s="11" t="n">
        <v>5</v>
      </c>
      <c r="D10" s="11" t="n">
        <v>5</v>
      </c>
      <c r="E10" s="11" t="n">
        <v>4</v>
      </c>
      <c r="F10" s="11" t="n">
        <v>5</v>
      </c>
      <c r="G10" s="11" t="n">
        <v>3</v>
      </c>
      <c r="H10" s="11" t="n">
        <v>4</v>
      </c>
      <c r="I10" s="11" t="n">
        <v>4</v>
      </c>
      <c r="J10" s="11" t="n">
        <v>4</v>
      </c>
      <c r="K10" s="11" t="n">
        <v>4</v>
      </c>
      <c r="L10" s="12" t="n">
        <f aca="false">SUMPRODUCT(B10:K10,$B$4:$K$4)</f>
        <v>4.1</v>
      </c>
      <c r="M10" s="11" t="n">
        <f aca="false">RANK(L10,$L$5:$L$13)</f>
        <v>5</v>
      </c>
      <c r="N10" s="11" t="str">
        <f aca="false">IF(L10&gt;=4.3,"Tier 1",IF(L10&gt;=3.9,"Tier 2","Tier 3 (specialist)"))</f>
        <v>Tier 2</v>
      </c>
    </row>
    <row r="11" customFormat="false" ht="15" hidden="false" customHeight="false" outlineLevel="0" collapsed="false">
      <c r="A11" s="13" t="s">
        <v>46</v>
      </c>
      <c r="B11" s="11" t="n">
        <v>3</v>
      </c>
      <c r="C11" s="11" t="n">
        <v>4</v>
      </c>
      <c r="D11" s="11" t="n">
        <v>4</v>
      </c>
      <c r="E11" s="11" t="n">
        <v>4</v>
      </c>
      <c r="F11" s="11" t="n">
        <v>3</v>
      </c>
      <c r="G11" s="11" t="n">
        <v>3</v>
      </c>
      <c r="H11" s="11" t="n">
        <v>5</v>
      </c>
      <c r="I11" s="11" t="n">
        <v>3</v>
      </c>
      <c r="J11" s="11" t="n">
        <v>3</v>
      </c>
      <c r="K11" s="11" t="n">
        <v>5</v>
      </c>
      <c r="L11" s="12" t="n">
        <f aca="false">SUMPRODUCT(B11:K11,$B$4:$K$4)</f>
        <v>3.65</v>
      </c>
      <c r="M11" s="11" t="n">
        <f aca="false">RANK(L11,$L$5:$L$13)</f>
        <v>7</v>
      </c>
      <c r="N11" s="11" t="str">
        <f aca="false">IF(L11&gt;=4.3,"Tier 1",IF(L11&gt;=3.9,"Tier 2","Tier 3 (specialist)"))</f>
        <v>Tier 3 (specialist)</v>
      </c>
    </row>
    <row r="12" customFormat="false" ht="15" hidden="false" customHeight="false" outlineLevel="0" collapsed="false">
      <c r="A12" s="13" t="s">
        <v>47</v>
      </c>
      <c r="B12" s="11" t="n">
        <v>3</v>
      </c>
      <c r="C12" s="11" t="n">
        <v>4</v>
      </c>
      <c r="D12" s="11" t="n">
        <v>4</v>
      </c>
      <c r="E12" s="11" t="n">
        <v>4</v>
      </c>
      <c r="F12" s="11" t="n">
        <v>2</v>
      </c>
      <c r="G12" s="11" t="n">
        <v>3</v>
      </c>
      <c r="H12" s="11" t="n">
        <v>4</v>
      </c>
      <c r="I12" s="11" t="n">
        <v>5</v>
      </c>
      <c r="J12" s="11" t="n">
        <v>3</v>
      </c>
      <c r="K12" s="11" t="n">
        <v>5</v>
      </c>
      <c r="L12" s="12" t="n">
        <f aca="false">SUMPRODUCT(B12:K12,$B$4:$K$4)</f>
        <v>3.53</v>
      </c>
      <c r="M12" s="11" t="n">
        <f aca="false">RANK(L12,$L$5:$L$13)</f>
        <v>9</v>
      </c>
      <c r="N12" s="11" t="str">
        <f aca="false">IF(L12&gt;=4.3,"Tier 1",IF(L12&gt;=3.9,"Tier 2","Tier 3 (specialist)"))</f>
        <v>Tier 3 (specialist)</v>
      </c>
    </row>
    <row r="13" customFormat="false" ht="15" hidden="false" customHeight="false" outlineLevel="0" collapsed="false">
      <c r="A13" s="13" t="s">
        <v>48</v>
      </c>
      <c r="B13" s="11" t="n">
        <v>3</v>
      </c>
      <c r="C13" s="11" t="n">
        <v>4</v>
      </c>
      <c r="D13" s="11" t="n">
        <v>4</v>
      </c>
      <c r="E13" s="11" t="n">
        <v>4</v>
      </c>
      <c r="F13" s="11" t="n">
        <v>4</v>
      </c>
      <c r="G13" s="11" t="n">
        <v>3</v>
      </c>
      <c r="H13" s="11" t="n">
        <v>4</v>
      </c>
      <c r="I13" s="11" t="n">
        <v>3</v>
      </c>
      <c r="J13" s="11" t="n">
        <v>3</v>
      </c>
      <c r="K13" s="11" t="n">
        <v>4</v>
      </c>
      <c r="L13" s="12" t="n">
        <f aca="false">SUMPRODUCT(B13:K13,$B$4:$K$4)</f>
        <v>3.63</v>
      </c>
      <c r="M13" s="11" t="n">
        <f aca="false">RANK(L13,$L$5:$L$13)</f>
        <v>8</v>
      </c>
      <c r="N13" s="11" t="str">
        <f aca="false">IF(L13&gt;=4.3,"Tier 1",IF(L13&gt;=3.9,"Tier 2","Tier 3 (specialist)"))</f>
        <v>Tier 3 (specialist)</v>
      </c>
    </row>
    <row r="15" customFormat="false" ht="15" hidden="false" customHeight="false" outlineLevel="0" collapsed="false">
      <c r="A15" s="14" t="s">
        <v>49</v>
      </c>
    </row>
    <row r="16" customFormat="false" ht="15" hidden="false" customHeight="true" outlineLevel="0" collapsed="false">
      <c r="A16" s="5" t="s">
        <v>50</v>
      </c>
      <c r="B16" s="15" t="s">
        <v>51</v>
      </c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customFormat="false" ht="15" hidden="false" customHeight="true" outlineLevel="0" collapsed="false">
      <c r="A17" s="5" t="s">
        <v>41</v>
      </c>
      <c r="B17" s="15" t="s">
        <v>52</v>
      </c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</row>
    <row r="18" customFormat="false" ht="15" hidden="false" customHeight="true" outlineLevel="0" collapsed="false">
      <c r="A18" s="5" t="s">
        <v>42</v>
      </c>
      <c r="B18" s="15" t="s">
        <v>53</v>
      </c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</row>
    <row r="19" customFormat="false" ht="15" hidden="false" customHeight="true" outlineLevel="0" collapsed="false">
      <c r="A19" s="5" t="s">
        <v>43</v>
      </c>
      <c r="B19" s="15" t="s">
        <v>54</v>
      </c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</row>
    <row r="20" customFormat="false" ht="15" hidden="false" customHeight="true" outlineLevel="0" collapsed="false">
      <c r="A20" s="5" t="s">
        <v>44</v>
      </c>
      <c r="B20" s="15" t="s">
        <v>55</v>
      </c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</row>
    <row r="21" customFormat="false" ht="15" hidden="false" customHeight="true" outlineLevel="0" collapsed="false">
      <c r="A21" s="5" t="s">
        <v>45</v>
      </c>
      <c r="B21" s="15" t="s">
        <v>56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</row>
    <row r="22" customFormat="false" ht="15" hidden="false" customHeight="true" outlineLevel="0" collapsed="false">
      <c r="A22" s="5" t="s">
        <v>46</v>
      </c>
      <c r="B22" s="15" t="s">
        <v>57</v>
      </c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</row>
    <row r="23" customFormat="false" ht="15" hidden="false" customHeight="true" outlineLevel="0" collapsed="false">
      <c r="A23" s="5" t="s">
        <v>47</v>
      </c>
      <c r="B23" s="15" t="s">
        <v>58</v>
      </c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</row>
    <row r="24" customFormat="false" ht="15" hidden="false" customHeight="true" outlineLevel="0" collapsed="false">
      <c r="A24" s="5" t="s">
        <v>48</v>
      </c>
      <c r="B24" s="15" t="s">
        <v>59</v>
      </c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</row>
  </sheetData>
  <mergeCells count="11">
    <mergeCell ref="A1:N1"/>
    <mergeCell ref="A2:N2"/>
    <mergeCell ref="B16:N16"/>
    <mergeCell ref="B17:N17"/>
    <mergeCell ref="B18:N18"/>
    <mergeCell ref="B19:N19"/>
    <mergeCell ref="B20:N20"/>
    <mergeCell ref="B21:N21"/>
    <mergeCell ref="B22:N22"/>
    <mergeCell ref="B23:N23"/>
    <mergeCell ref="B24:N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7" min="6" style="0" width="22"/>
    <col collapsed="false" customWidth="true" hidden="false" outlineLevel="0" max="8" min="8" style="0" width="28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1" min="11" style="0" width="8"/>
  </cols>
  <sheetData>
    <row r="1" customFormat="false" ht="30" hidden="false" customHeight="true" outlineLevel="0" collapsed="false">
      <c r="A1" s="1" t="s">
        <v>60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15.75" hidden="false" customHeight="true" outlineLevel="0" collapsed="false">
      <c r="A2" s="2" t="s">
        <v>61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42" hidden="false" customHeight="true" outlineLevel="0" collapsed="false">
      <c r="A3" s="6" t="s">
        <v>25</v>
      </c>
      <c r="B3" s="6" t="s">
        <v>62</v>
      </c>
      <c r="C3" s="6" t="s">
        <v>63</v>
      </c>
      <c r="D3" s="6" t="s">
        <v>64</v>
      </c>
      <c r="E3" s="6" t="s">
        <v>65</v>
      </c>
      <c r="F3" s="6" t="s">
        <v>66</v>
      </c>
      <c r="G3" s="6" t="s">
        <v>67</v>
      </c>
      <c r="H3" s="6" t="s">
        <v>68</v>
      </c>
      <c r="I3" s="6" t="s">
        <v>69</v>
      </c>
      <c r="J3" s="6" t="s">
        <v>70</v>
      </c>
      <c r="K3" s="6" t="s">
        <v>71</v>
      </c>
    </row>
    <row r="4" customFormat="false" ht="96" hidden="false" customHeight="true" outlineLevel="0" collapsed="false">
      <c r="A4" s="16" t="s">
        <v>50</v>
      </c>
      <c r="B4" s="13" t="s">
        <v>72</v>
      </c>
      <c r="C4" s="13" t="s">
        <v>73</v>
      </c>
      <c r="D4" s="13" t="s">
        <v>74</v>
      </c>
      <c r="E4" s="13" t="s">
        <v>75</v>
      </c>
      <c r="F4" s="13" t="s">
        <v>76</v>
      </c>
      <c r="G4" s="13" t="s">
        <v>77</v>
      </c>
      <c r="H4" s="13" t="s">
        <v>78</v>
      </c>
      <c r="I4" s="13" t="s">
        <v>79</v>
      </c>
      <c r="J4" s="13" t="s">
        <v>80</v>
      </c>
      <c r="K4" s="13" t="s">
        <v>81</v>
      </c>
    </row>
    <row r="5" customFormat="false" ht="96" hidden="false" customHeight="true" outlineLevel="0" collapsed="false">
      <c r="A5" s="16" t="s">
        <v>41</v>
      </c>
      <c r="B5" s="13" t="s">
        <v>82</v>
      </c>
      <c r="C5" s="13" t="s">
        <v>83</v>
      </c>
      <c r="D5" s="13" t="s">
        <v>84</v>
      </c>
      <c r="E5" s="13" t="s">
        <v>85</v>
      </c>
      <c r="F5" s="13" t="s">
        <v>86</v>
      </c>
      <c r="G5" s="13" t="s">
        <v>87</v>
      </c>
      <c r="H5" s="13" t="s">
        <v>88</v>
      </c>
      <c r="I5" s="13" t="s">
        <v>89</v>
      </c>
      <c r="J5" s="13" t="s">
        <v>90</v>
      </c>
      <c r="K5" s="13" t="s">
        <v>91</v>
      </c>
    </row>
    <row r="6" customFormat="false" ht="96" hidden="false" customHeight="true" outlineLevel="0" collapsed="false">
      <c r="A6" s="16" t="s">
        <v>42</v>
      </c>
      <c r="B6" s="13" t="s">
        <v>92</v>
      </c>
      <c r="C6" s="13" t="s">
        <v>93</v>
      </c>
      <c r="D6" s="13" t="s">
        <v>94</v>
      </c>
      <c r="E6" s="13" t="s">
        <v>95</v>
      </c>
      <c r="F6" s="13" t="s">
        <v>96</v>
      </c>
      <c r="G6" s="13" t="s">
        <v>97</v>
      </c>
      <c r="H6" s="13" t="s">
        <v>98</v>
      </c>
      <c r="I6" s="13" t="s">
        <v>99</v>
      </c>
      <c r="J6" s="13" t="s">
        <v>100</v>
      </c>
      <c r="K6" s="13" t="s">
        <v>101</v>
      </c>
    </row>
    <row r="7" customFormat="false" ht="96" hidden="false" customHeight="true" outlineLevel="0" collapsed="false">
      <c r="A7" s="16" t="s">
        <v>43</v>
      </c>
      <c r="B7" s="13" t="s">
        <v>102</v>
      </c>
      <c r="C7" s="13" t="s">
        <v>103</v>
      </c>
      <c r="D7" s="13" t="s">
        <v>104</v>
      </c>
      <c r="E7" s="13" t="s">
        <v>105</v>
      </c>
      <c r="F7" s="13" t="s">
        <v>106</v>
      </c>
      <c r="G7" s="13" t="s">
        <v>107</v>
      </c>
      <c r="H7" s="13" t="s">
        <v>108</v>
      </c>
      <c r="I7" s="13" t="s">
        <v>109</v>
      </c>
      <c r="J7" s="13" t="s">
        <v>110</v>
      </c>
      <c r="K7" s="13" t="s">
        <v>111</v>
      </c>
    </row>
    <row r="8" customFormat="false" ht="96" hidden="false" customHeight="true" outlineLevel="0" collapsed="false">
      <c r="A8" s="16" t="s">
        <v>44</v>
      </c>
      <c r="B8" s="13" t="s">
        <v>112</v>
      </c>
      <c r="C8" s="13" t="s">
        <v>113</v>
      </c>
      <c r="D8" s="13" t="s">
        <v>114</v>
      </c>
      <c r="E8" s="13" t="s">
        <v>115</v>
      </c>
      <c r="F8" s="13" t="s">
        <v>116</v>
      </c>
      <c r="G8" s="13" t="s">
        <v>117</v>
      </c>
      <c r="H8" s="13" t="s">
        <v>118</v>
      </c>
      <c r="I8" s="13" t="s">
        <v>119</v>
      </c>
      <c r="J8" s="13" t="s">
        <v>120</v>
      </c>
      <c r="K8" s="13" t="s">
        <v>121</v>
      </c>
    </row>
    <row r="9" customFormat="false" ht="96" hidden="false" customHeight="true" outlineLevel="0" collapsed="false">
      <c r="A9" s="16" t="s">
        <v>45</v>
      </c>
      <c r="B9" s="13" t="s">
        <v>122</v>
      </c>
      <c r="C9" s="13" t="s">
        <v>123</v>
      </c>
      <c r="D9" s="13" t="s">
        <v>124</v>
      </c>
      <c r="E9" s="13" t="s">
        <v>125</v>
      </c>
      <c r="F9" s="13" t="s">
        <v>126</v>
      </c>
      <c r="G9" s="13" t="s">
        <v>127</v>
      </c>
      <c r="H9" s="13" t="s">
        <v>128</v>
      </c>
      <c r="I9" s="13" t="s">
        <v>129</v>
      </c>
      <c r="J9" s="13" t="s">
        <v>130</v>
      </c>
      <c r="K9" s="13" t="s">
        <v>131</v>
      </c>
    </row>
    <row r="10" customFormat="false" ht="96" hidden="false" customHeight="true" outlineLevel="0" collapsed="false">
      <c r="A10" s="16" t="s">
        <v>46</v>
      </c>
      <c r="B10" s="13" t="s">
        <v>132</v>
      </c>
      <c r="C10" s="13" t="s">
        <v>133</v>
      </c>
      <c r="D10" s="13" t="s">
        <v>134</v>
      </c>
      <c r="E10" s="13" t="s">
        <v>135</v>
      </c>
      <c r="F10" s="13" t="s">
        <v>95</v>
      </c>
      <c r="G10" s="13" t="s">
        <v>136</v>
      </c>
      <c r="H10" s="13" t="s">
        <v>137</v>
      </c>
      <c r="I10" s="13" t="s">
        <v>138</v>
      </c>
      <c r="J10" s="13" t="s">
        <v>139</v>
      </c>
      <c r="K10" s="13" t="s">
        <v>140</v>
      </c>
    </row>
    <row r="11" customFormat="false" ht="96" hidden="false" customHeight="true" outlineLevel="0" collapsed="false">
      <c r="A11" s="16" t="s">
        <v>47</v>
      </c>
      <c r="B11" s="13" t="s">
        <v>141</v>
      </c>
      <c r="C11" s="13" t="s">
        <v>142</v>
      </c>
      <c r="D11" s="13" t="s">
        <v>143</v>
      </c>
      <c r="E11" s="13" t="s">
        <v>95</v>
      </c>
      <c r="F11" s="13" t="s">
        <v>144</v>
      </c>
      <c r="G11" s="13" t="s">
        <v>145</v>
      </c>
      <c r="H11" s="13" t="s">
        <v>146</v>
      </c>
      <c r="I11" s="13" t="s">
        <v>147</v>
      </c>
      <c r="J11" s="13" t="s">
        <v>148</v>
      </c>
      <c r="K11" s="13" t="s">
        <v>149</v>
      </c>
    </row>
    <row r="12" customFormat="false" ht="96" hidden="false" customHeight="true" outlineLevel="0" collapsed="false">
      <c r="A12" s="16" t="s">
        <v>48</v>
      </c>
      <c r="B12" s="13" t="s">
        <v>150</v>
      </c>
      <c r="C12" s="13" t="s">
        <v>151</v>
      </c>
      <c r="D12" s="13" t="s">
        <v>152</v>
      </c>
      <c r="E12" s="13" t="s">
        <v>95</v>
      </c>
      <c r="F12" s="13" t="s">
        <v>95</v>
      </c>
      <c r="G12" s="13" t="s">
        <v>153</v>
      </c>
      <c r="H12" s="13" t="s">
        <v>154</v>
      </c>
      <c r="I12" s="13" t="s">
        <v>155</v>
      </c>
      <c r="J12" s="13" t="s">
        <v>156</v>
      </c>
      <c r="K12" s="13" t="s">
        <v>157</v>
      </c>
    </row>
  </sheetData>
  <mergeCells count="2">
    <mergeCell ref="A1:K1"/>
    <mergeCell ref="A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26"/>
    <col collapsed="false" customWidth="true" hidden="false" outlineLevel="0" max="5" min="5" style="0" width="30"/>
    <col collapsed="false" customWidth="true" hidden="false" outlineLevel="0" max="6" min="6" style="0" width="34"/>
    <col collapsed="false" customWidth="true" hidden="false" outlineLevel="0" max="7" min="7" style="0" width="8"/>
  </cols>
  <sheetData>
    <row r="1" customFormat="false" ht="30" hidden="false" customHeight="true" outlineLevel="0" collapsed="false">
      <c r="A1" s="1" t="s">
        <v>158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159</v>
      </c>
      <c r="B2" s="2"/>
      <c r="C2" s="2"/>
      <c r="D2" s="2"/>
      <c r="E2" s="2"/>
      <c r="F2" s="2"/>
      <c r="G2" s="2"/>
    </row>
    <row r="3" customFormat="false" ht="31.5" hidden="false" customHeight="true" outlineLevel="0" collapsed="false">
      <c r="A3" s="6" t="s">
        <v>25</v>
      </c>
      <c r="B3" s="6" t="s">
        <v>160</v>
      </c>
      <c r="C3" s="6" t="s">
        <v>161</v>
      </c>
      <c r="D3" s="6" t="s">
        <v>162</v>
      </c>
      <c r="E3" s="6" t="s">
        <v>163</v>
      </c>
      <c r="F3" s="6" t="s">
        <v>164</v>
      </c>
      <c r="G3" s="6" t="s">
        <v>71</v>
      </c>
    </row>
    <row r="4" customFormat="false" ht="79.5" hidden="false" customHeight="true" outlineLevel="0" collapsed="false">
      <c r="A4" s="16" t="s">
        <v>165</v>
      </c>
      <c r="B4" s="13" t="s">
        <v>166</v>
      </c>
      <c r="C4" s="13" t="s">
        <v>167</v>
      </c>
      <c r="D4" s="13" t="s">
        <v>168</v>
      </c>
      <c r="E4" s="13" t="s">
        <v>169</v>
      </c>
      <c r="F4" s="13" t="s">
        <v>170</v>
      </c>
      <c r="G4" s="13" t="s">
        <v>171</v>
      </c>
    </row>
    <row r="5" customFormat="false" ht="79.5" hidden="false" customHeight="true" outlineLevel="0" collapsed="false">
      <c r="A5" s="16" t="s">
        <v>172</v>
      </c>
      <c r="B5" s="13" t="s">
        <v>173</v>
      </c>
      <c r="C5" s="13" t="s">
        <v>174</v>
      </c>
      <c r="D5" s="13" t="s">
        <v>175</v>
      </c>
      <c r="E5" s="13" t="s">
        <v>176</v>
      </c>
      <c r="F5" s="13" t="s">
        <v>177</v>
      </c>
      <c r="G5" s="13" t="s">
        <v>178</v>
      </c>
    </row>
    <row r="6" customFormat="false" ht="79.5" hidden="false" customHeight="true" outlineLevel="0" collapsed="false">
      <c r="A6" s="16" t="s">
        <v>179</v>
      </c>
      <c r="B6" s="13" t="s">
        <v>180</v>
      </c>
      <c r="C6" s="13" t="s">
        <v>181</v>
      </c>
      <c r="D6" s="13" t="s">
        <v>182</v>
      </c>
      <c r="E6" s="13" t="s">
        <v>183</v>
      </c>
      <c r="F6" s="13" t="s">
        <v>184</v>
      </c>
      <c r="G6" s="13" t="s">
        <v>185</v>
      </c>
    </row>
    <row r="7" customFormat="false" ht="79.5" hidden="false" customHeight="true" outlineLevel="0" collapsed="false">
      <c r="A7" s="16" t="s">
        <v>186</v>
      </c>
      <c r="B7" s="13" t="s">
        <v>187</v>
      </c>
      <c r="C7" s="13" t="s">
        <v>188</v>
      </c>
      <c r="D7" s="13" t="s">
        <v>189</v>
      </c>
      <c r="E7" s="13" t="s">
        <v>190</v>
      </c>
      <c r="F7" s="13" t="s">
        <v>191</v>
      </c>
      <c r="G7" s="13" t="s">
        <v>192</v>
      </c>
    </row>
    <row r="8" customFormat="false" ht="79.5" hidden="false" customHeight="true" outlineLevel="0" collapsed="false">
      <c r="A8" s="16" t="s">
        <v>193</v>
      </c>
      <c r="B8" s="13" t="s">
        <v>194</v>
      </c>
      <c r="C8" s="13" t="s">
        <v>195</v>
      </c>
      <c r="D8" s="13" t="s">
        <v>196</v>
      </c>
      <c r="E8" s="13" t="s">
        <v>197</v>
      </c>
      <c r="F8" s="13" t="s">
        <v>198</v>
      </c>
      <c r="G8" s="13" t="s">
        <v>199</v>
      </c>
    </row>
    <row r="9" customFormat="false" ht="79.5" hidden="false" customHeight="true" outlineLevel="0" collapsed="false">
      <c r="A9" s="16" t="s">
        <v>200</v>
      </c>
      <c r="B9" s="13" t="s">
        <v>201</v>
      </c>
      <c r="C9" s="13" t="s">
        <v>202</v>
      </c>
      <c r="D9" s="13" t="s">
        <v>203</v>
      </c>
      <c r="E9" s="13" t="s">
        <v>204</v>
      </c>
      <c r="F9" s="13" t="s">
        <v>205</v>
      </c>
      <c r="G9" s="13" t="s">
        <v>206</v>
      </c>
    </row>
    <row r="10" customFormat="false" ht="79.5" hidden="false" customHeight="true" outlineLevel="0" collapsed="false">
      <c r="A10" s="16" t="s">
        <v>207</v>
      </c>
      <c r="B10" s="13" t="s">
        <v>201</v>
      </c>
      <c r="C10" s="13" t="s">
        <v>208</v>
      </c>
      <c r="D10" s="13" t="s">
        <v>209</v>
      </c>
      <c r="E10" s="13" t="s">
        <v>210</v>
      </c>
      <c r="F10" s="13" t="s">
        <v>211</v>
      </c>
      <c r="G10" s="13" t="s">
        <v>212</v>
      </c>
    </row>
    <row r="11" customFormat="false" ht="79.5" hidden="false" customHeight="true" outlineLevel="0" collapsed="false">
      <c r="A11" s="16" t="s">
        <v>213</v>
      </c>
      <c r="B11" s="13" t="s">
        <v>214</v>
      </c>
      <c r="C11" s="13" t="s">
        <v>215</v>
      </c>
      <c r="D11" s="13" t="s">
        <v>216</v>
      </c>
      <c r="E11" s="13" t="s">
        <v>217</v>
      </c>
      <c r="F11" s="13" t="s">
        <v>218</v>
      </c>
      <c r="G11" s="13" t="s">
        <v>219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1" min="2" style="0" width="15"/>
  </cols>
  <sheetData>
    <row r="1" customFormat="false" ht="30" hidden="false" customHeight="true" outlineLevel="0" collapsed="false">
      <c r="A1" s="1" t="s">
        <v>220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.75" hidden="false" customHeight="true" outlineLevel="0" collapsed="false">
      <c r="A2" s="2" t="s">
        <v>221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45.75" hidden="false" customHeight="true" outlineLevel="0" collapsed="false">
      <c r="A3" s="6" t="s">
        <v>25</v>
      </c>
      <c r="B3" s="6" t="s">
        <v>222</v>
      </c>
      <c r="C3" s="6" t="s">
        <v>223</v>
      </c>
      <c r="D3" s="6" t="s">
        <v>224</v>
      </c>
      <c r="E3" s="6" t="s">
        <v>225</v>
      </c>
      <c r="F3" s="6" t="s">
        <v>226</v>
      </c>
      <c r="G3" s="6" t="s">
        <v>227</v>
      </c>
      <c r="H3" s="6" t="s">
        <v>228</v>
      </c>
      <c r="I3" s="6" t="s">
        <v>229</v>
      </c>
      <c r="J3" s="6" t="s">
        <v>230</v>
      </c>
      <c r="K3" s="6" t="s">
        <v>231</v>
      </c>
      <c r="L3" s="6" t="s">
        <v>232</v>
      </c>
      <c r="M3" s="6" t="s">
        <v>233</v>
      </c>
      <c r="N3" s="6" t="s">
        <v>234</v>
      </c>
      <c r="O3" s="6" t="s">
        <v>235</v>
      </c>
      <c r="P3" s="6" t="s">
        <v>236</v>
      </c>
      <c r="Q3" s="6" t="s">
        <v>237</v>
      </c>
      <c r="R3" s="6" t="s">
        <v>238</v>
      </c>
      <c r="S3" s="6" t="s">
        <v>63</v>
      </c>
      <c r="T3" s="6" t="s">
        <v>239</v>
      </c>
      <c r="U3" s="6" t="s">
        <v>240</v>
      </c>
    </row>
    <row r="4" customFormat="false" ht="32.8" hidden="false" customHeight="false" outlineLevel="0" collapsed="false">
      <c r="A4" s="17" t="s">
        <v>241</v>
      </c>
      <c r="B4" s="17" t="s">
        <v>242</v>
      </c>
      <c r="C4" s="17" t="s">
        <v>243</v>
      </c>
      <c r="D4" s="17" t="s">
        <v>244</v>
      </c>
      <c r="E4" s="17" t="s">
        <v>245</v>
      </c>
      <c r="F4" s="17" t="s">
        <v>246</v>
      </c>
      <c r="G4" s="17" t="s">
        <v>247</v>
      </c>
      <c r="H4" s="17" t="s">
        <v>248</v>
      </c>
      <c r="I4" s="17" t="s">
        <v>249</v>
      </c>
      <c r="J4" s="17" t="s">
        <v>250</v>
      </c>
      <c r="K4" s="17" t="s">
        <v>251</v>
      </c>
      <c r="L4" s="17" t="s">
        <v>252</v>
      </c>
      <c r="M4" s="17" t="s">
        <v>253</v>
      </c>
      <c r="N4" s="17" t="s">
        <v>254</v>
      </c>
      <c r="O4" s="17" t="s">
        <v>255</v>
      </c>
      <c r="P4" s="17" t="s">
        <v>256</v>
      </c>
      <c r="Q4" s="17" t="s">
        <v>256</v>
      </c>
      <c r="R4" s="17" t="s">
        <v>256</v>
      </c>
      <c r="S4" s="17" t="s">
        <v>257</v>
      </c>
      <c r="T4" s="17" t="s">
        <v>258</v>
      </c>
      <c r="U4" s="17" t="s">
        <v>259</v>
      </c>
    </row>
    <row r="5" customFormat="false" ht="15" hidden="false" customHeight="false" outlineLevel="0" collapsed="false">
      <c r="A5" s="18" t="s">
        <v>50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</row>
    <row r="6" customFormat="false" ht="15" hidden="false" customHeight="false" outlineLevel="0" collapsed="false">
      <c r="A6" s="18" t="s">
        <v>41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</row>
    <row r="7" customFormat="false" ht="15" hidden="false" customHeight="false" outlineLevel="0" collapsed="false">
      <c r="A7" s="18" t="s">
        <v>42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</row>
    <row r="8" customFormat="false" ht="15" hidden="false" customHeight="false" outlineLevel="0" collapsed="false">
      <c r="A8" s="18" t="s">
        <v>43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</row>
    <row r="9" customFormat="false" ht="15" hidden="false" customHeight="false" outlineLevel="0" collapsed="false">
      <c r="A9" s="18" t="s">
        <v>44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</row>
    <row r="10" customFormat="false" ht="15" hidden="false" customHeight="false" outlineLevel="0" collapsed="false">
      <c r="A10" s="18" t="s">
        <v>45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</row>
    <row r="11" customFormat="false" ht="15" hidden="false" customHeight="false" outlineLevel="0" collapsed="false">
      <c r="A11" s="18" t="s">
        <v>46</v>
      </c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</row>
    <row r="12" customFormat="false" ht="15" hidden="false" customHeight="false" outlineLevel="0" collapsed="false">
      <c r="A12" s="18" t="s">
        <v>260</v>
      </c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</row>
    <row r="13" customFormat="false" ht="15" hidden="false" customHeight="false" outlineLevel="0" collapsed="false">
      <c r="A13" s="18" t="s">
        <v>48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</row>
  </sheetData>
  <mergeCells count="2">
    <mergeCell ref="A1:T1"/>
    <mergeCell ref="A2:T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85"/>
  </cols>
  <sheetData>
    <row r="1" customFormat="false" ht="30" hidden="false" customHeight="true" outlineLevel="0" collapsed="false">
      <c r="A1" s="1" t="s">
        <v>261</v>
      </c>
      <c r="B1" s="1"/>
      <c r="C1" s="1"/>
    </row>
    <row r="2" customFormat="false" ht="15.75" hidden="false" customHeight="true" outlineLevel="0" collapsed="false">
      <c r="A2" s="2" t="s">
        <v>262</v>
      </c>
      <c r="B2" s="2"/>
      <c r="C2" s="2"/>
    </row>
    <row r="3" customFormat="false" ht="15" hidden="false" customHeight="false" outlineLevel="0" collapsed="false">
      <c r="A3" s="20" t="s">
        <v>263</v>
      </c>
      <c r="B3" s="20" t="s">
        <v>264</v>
      </c>
      <c r="C3" s="20" t="s">
        <v>265</v>
      </c>
    </row>
    <row r="4" customFormat="false" ht="15" hidden="false" customHeight="false" outlineLevel="0" collapsed="false">
      <c r="A4" s="11" t="n">
        <v>1</v>
      </c>
      <c r="B4" s="13" t="s">
        <v>266</v>
      </c>
      <c r="C4" s="21" t="s">
        <v>267</v>
      </c>
    </row>
    <row r="5" customFormat="false" ht="15" hidden="false" customHeight="false" outlineLevel="0" collapsed="false">
      <c r="A5" s="11" t="n">
        <v>2</v>
      </c>
      <c r="B5" s="13" t="s">
        <v>268</v>
      </c>
      <c r="C5" s="21" t="s">
        <v>269</v>
      </c>
    </row>
    <row r="6" customFormat="false" ht="15" hidden="false" customHeight="false" outlineLevel="0" collapsed="false">
      <c r="A6" s="11" t="n">
        <v>3</v>
      </c>
      <c r="B6" s="13" t="s">
        <v>270</v>
      </c>
      <c r="C6" s="21" t="s">
        <v>271</v>
      </c>
    </row>
    <row r="7" customFormat="false" ht="15" hidden="false" customHeight="false" outlineLevel="0" collapsed="false">
      <c r="A7" s="11" t="n">
        <v>4</v>
      </c>
      <c r="B7" s="13" t="s">
        <v>272</v>
      </c>
      <c r="C7" s="21" t="s">
        <v>273</v>
      </c>
    </row>
    <row r="8" customFormat="false" ht="15" hidden="false" customHeight="false" outlineLevel="0" collapsed="false">
      <c r="A8" s="11" t="n">
        <v>5</v>
      </c>
      <c r="B8" s="13" t="s">
        <v>274</v>
      </c>
      <c r="C8" s="21" t="s">
        <v>275</v>
      </c>
    </row>
    <row r="9" customFormat="false" ht="15" hidden="false" customHeight="false" outlineLevel="0" collapsed="false">
      <c r="A9" s="11" t="n">
        <v>6</v>
      </c>
      <c r="B9" s="13" t="s">
        <v>276</v>
      </c>
      <c r="C9" s="21" t="s">
        <v>277</v>
      </c>
    </row>
    <row r="10" customFormat="false" ht="15" hidden="false" customHeight="false" outlineLevel="0" collapsed="false">
      <c r="A10" s="11" t="n">
        <v>7</v>
      </c>
      <c r="B10" s="13" t="s">
        <v>278</v>
      </c>
      <c r="C10" s="21" t="s">
        <v>279</v>
      </c>
    </row>
    <row r="11" customFormat="false" ht="22.35" hidden="false" customHeight="false" outlineLevel="0" collapsed="false">
      <c r="A11" s="11" t="n">
        <v>8</v>
      </c>
      <c r="B11" s="13" t="s">
        <v>280</v>
      </c>
      <c r="C11" s="21" t="s">
        <v>281</v>
      </c>
    </row>
    <row r="12" customFormat="false" ht="22.35" hidden="false" customHeight="false" outlineLevel="0" collapsed="false">
      <c r="A12" s="11" t="n">
        <v>9</v>
      </c>
      <c r="B12" s="13" t="s">
        <v>282</v>
      </c>
      <c r="C12" s="21" t="s">
        <v>283</v>
      </c>
    </row>
    <row r="13" customFormat="false" ht="15" hidden="false" customHeight="false" outlineLevel="0" collapsed="false">
      <c r="A13" s="11" t="n">
        <v>10</v>
      </c>
      <c r="B13" s="13" t="s">
        <v>284</v>
      </c>
      <c r="C13" s="21" t="s">
        <v>285</v>
      </c>
    </row>
    <row r="14" customFormat="false" ht="15" hidden="false" customHeight="false" outlineLevel="0" collapsed="false">
      <c r="A14" s="11" t="n">
        <v>11</v>
      </c>
      <c r="B14" s="13" t="s">
        <v>286</v>
      </c>
      <c r="C14" s="21" t="s">
        <v>287</v>
      </c>
    </row>
    <row r="15" customFormat="false" ht="22.35" hidden="false" customHeight="false" outlineLevel="0" collapsed="false">
      <c r="A15" s="11" t="n">
        <v>12</v>
      </c>
      <c r="B15" s="13" t="s">
        <v>288</v>
      </c>
      <c r="C15" s="21" t="s">
        <v>289</v>
      </c>
    </row>
    <row r="16" customFormat="false" ht="22.35" hidden="false" customHeight="false" outlineLevel="0" collapsed="false">
      <c r="A16" s="11" t="n">
        <v>13</v>
      </c>
      <c r="B16" s="13" t="s">
        <v>290</v>
      </c>
      <c r="C16" s="21" t="s">
        <v>291</v>
      </c>
    </row>
    <row r="17" customFormat="false" ht="15" hidden="false" customHeight="false" outlineLevel="0" collapsed="false">
      <c r="A17" s="11" t="n">
        <v>14</v>
      </c>
      <c r="B17" s="13" t="s">
        <v>292</v>
      </c>
      <c r="C17" s="21" t="s">
        <v>293</v>
      </c>
    </row>
    <row r="18" customFormat="false" ht="15" hidden="false" customHeight="false" outlineLevel="0" collapsed="false">
      <c r="A18" s="11" t="n">
        <v>15</v>
      </c>
      <c r="B18" s="13" t="s">
        <v>294</v>
      </c>
      <c r="C18" s="21" t="s">
        <v>295</v>
      </c>
    </row>
    <row r="19" customFormat="false" ht="15" hidden="false" customHeight="false" outlineLevel="0" collapsed="false">
      <c r="A19" s="11" t="n">
        <v>16</v>
      </c>
      <c r="B19" s="13" t="s">
        <v>296</v>
      </c>
      <c r="C19" s="21" t="s">
        <v>297</v>
      </c>
    </row>
    <row r="20" customFormat="false" ht="15" hidden="false" customHeight="false" outlineLevel="0" collapsed="false">
      <c r="A20" s="11" t="n">
        <v>17</v>
      </c>
      <c r="B20" s="13" t="s">
        <v>298</v>
      </c>
      <c r="C20" s="21" t="s">
        <v>299</v>
      </c>
    </row>
    <row r="21" customFormat="false" ht="15" hidden="false" customHeight="false" outlineLevel="0" collapsed="false">
      <c r="A21" s="11" t="n">
        <v>18</v>
      </c>
      <c r="B21" s="13" t="s">
        <v>300</v>
      </c>
      <c r="C21" s="21" t="s">
        <v>301</v>
      </c>
    </row>
    <row r="22" customFormat="false" ht="15" hidden="false" customHeight="false" outlineLevel="0" collapsed="false">
      <c r="A22" s="11" t="n">
        <v>19</v>
      </c>
      <c r="B22" s="13" t="s">
        <v>179</v>
      </c>
      <c r="C22" s="21" t="s">
        <v>302</v>
      </c>
    </row>
    <row r="23" customFormat="false" ht="15" hidden="false" customHeight="false" outlineLevel="0" collapsed="false">
      <c r="A23" s="11" t="n">
        <v>20</v>
      </c>
      <c r="B23" s="13" t="s">
        <v>303</v>
      </c>
      <c r="C23" s="21" t="s">
        <v>304</v>
      </c>
    </row>
    <row r="24" customFormat="false" ht="15" hidden="false" customHeight="false" outlineLevel="0" collapsed="false">
      <c r="A24" s="11" t="n">
        <v>21</v>
      </c>
      <c r="B24" s="13" t="s">
        <v>305</v>
      </c>
      <c r="C24" s="21" t="s">
        <v>306</v>
      </c>
    </row>
    <row r="25" customFormat="false" ht="15" hidden="false" customHeight="false" outlineLevel="0" collapsed="false">
      <c r="A25" s="11" t="n">
        <v>22</v>
      </c>
      <c r="B25" s="13" t="s">
        <v>307</v>
      </c>
      <c r="C25" s="21" t="s">
        <v>308</v>
      </c>
    </row>
    <row r="26" customFormat="false" ht="15" hidden="false" customHeight="false" outlineLevel="0" collapsed="false">
      <c r="A26" s="11" t="n">
        <v>23</v>
      </c>
      <c r="B26" s="13" t="s">
        <v>309</v>
      </c>
      <c r="C26" s="21" t="s">
        <v>310</v>
      </c>
    </row>
    <row r="27" customFormat="false" ht="15" hidden="false" customHeight="false" outlineLevel="0" collapsed="false">
      <c r="A27" s="11" t="n">
        <v>24</v>
      </c>
      <c r="B27" s="13" t="s">
        <v>311</v>
      </c>
      <c r="C27" s="21" t="s">
        <v>312</v>
      </c>
    </row>
    <row r="28" customFormat="false" ht="15" hidden="false" customHeight="false" outlineLevel="0" collapsed="false">
      <c r="A28" s="11" t="n">
        <v>25</v>
      </c>
      <c r="B28" s="13" t="s">
        <v>313</v>
      </c>
      <c r="C28" s="21" t="s">
        <v>314</v>
      </c>
    </row>
    <row r="29" customFormat="false" ht="23.85" hidden="false" customHeight="false" outlineLevel="0" collapsed="false">
      <c r="A29" s="11" t="n">
        <v>26</v>
      </c>
      <c r="B29" s="13" t="s">
        <v>315</v>
      </c>
      <c r="C29" s="21" t="s">
        <v>316</v>
      </c>
    </row>
    <row r="30" customFormat="false" ht="15" hidden="false" customHeight="false" outlineLevel="0" collapsed="false">
      <c r="A30" s="11" t="n">
        <v>27</v>
      </c>
      <c r="B30" s="13" t="s">
        <v>317</v>
      </c>
      <c r="C30" s="21" t="s">
        <v>318</v>
      </c>
    </row>
    <row r="31" customFormat="false" ht="22.35" hidden="false" customHeight="false" outlineLevel="0" collapsed="false">
      <c r="A31" s="11" t="n">
        <v>28</v>
      </c>
      <c r="B31" s="13" t="s">
        <v>319</v>
      </c>
      <c r="C31" s="21" t="s">
        <v>320</v>
      </c>
    </row>
    <row r="32" customFormat="false" ht="15" hidden="false" customHeight="false" outlineLevel="0" collapsed="false">
      <c r="A32" s="11" t="n">
        <v>29</v>
      </c>
      <c r="B32" s="13" t="s">
        <v>321</v>
      </c>
      <c r="C32" s="21" t="s">
        <v>322</v>
      </c>
    </row>
    <row r="33" customFormat="false" ht="15" hidden="false" customHeight="false" outlineLevel="0" collapsed="false">
      <c r="A33" s="11" t="n">
        <v>30</v>
      </c>
      <c r="B33" s="13" t="s">
        <v>207</v>
      </c>
      <c r="C33" s="21" t="s">
        <v>323</v>
      </c>
    </row>
    <row r="34" customFormat="false" ht="15" hidden="false" customHeight="false" outlineLevel="0" collapsed="false">
      <c r="A34" s="11" t="n">
        <v>31</v>
      </c>
      <c r="B34" s="13" t="s">
        <v>324</v>
      </c>
      <c r="C34" s="21" t="s">
        <v>325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2026-07-23T15:28:13Z</dcterms:created>
  <dc:creator>openpyxl</dc:creator>
  <dc:description/>
  <dc:language>en-US</dc:language>
  <cp:lastModifiedBy/>
  <dcterms:modified xsi:type="dcterms:W3CDTF">2026-07-23T15:28:13Z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