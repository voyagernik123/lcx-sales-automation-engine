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rchitecture Options" sheetId="2" state="visible" r:id="rId4"/>
    <sheet name="Provider Matrix" sheetId="3" state="visible" r:id="rId5"/>
    <sheet name="Stablecoin Policy (GENIUS)" sheetId="4" state="visible" r:id="rId6"/>
    <sheet name="Licensing &amp; Compliance" sheetId="5" state="visible" r:id="rId7"/>
    <sheet name="RFI Tracker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<sst xmlns="http://schemas.openxmlformats.org/spreadsheetml/2006/main" count="417" uniqueCount="351">
  <si>
    <t xml:space="preserve">LCX US · Phase 2 — Payment Rails (on/off-ramp)</t>
  </si>
  <si>
    <t xml:space="preserve">USD fiat · USDC / stablecoins · decision-grade research pack · 23 Jul 2026 · Confidential — internal</t>
  </si>
  <si>
    <t xml:space="preserve">Purpose</t>
  </si>
  <si>
    <t xml:space="preserve">Design the US deposit/withdrawal stack for the LCX US exchange — USD fiat (ACH, wire, instant) plus USDC and other stablecoins — that is compliant, low-friction, keeps crypto custody at LCX, and reconciles the build-vs-rent licensing question.</t>
  </si>
  <si>
    <t xml:space="preserve">Tabs</t>
  </si>
  <si>
    <t xml:space="preserve">  • Architecture Options</t>
  </si>
  <si>
    <t xml:space="preserve">Scored comparison of the four ways to stand up the rails: rent (embedded), sponsor-bank-direct, full build, and hybrid (recommended).</t>
  </si>
  <si>
    <t xml:space="preserve">  • Provider Matrix</t>
  </si>
  <si>
    <t xml:space="preserve">The universe by category — embedded providers, sponsor banks, stablecoin rails, on-ramp aggregators, and bank-linking/compliance — with US standing, custody fit, economics and sources.</t>
  </si>
  <si>
    <t xml:space="preserve">  • Stablecoin Policy (GENIUS)</t>
  </si>
  <si>
    <t xml:space="preserve">Which stablecoins LCX US can support after the GENIUS Act, per coin, with the recommended action. This is the sharpest regulatory constraint in Phase 2.</t>
  </si>
  <si>
    <t xml:space="preserve">  • Licensing &amp; Compliance</t>
  </si>
  <si>
    <t xml:space="preserve">The checklist to operate legally: FinCEN MSB, state MTLs, KYC, Travel Rule, IRS 1099-DA, BSA officer, sanctions, ACH fraud tooling — with owner/status.</t>
  </si>
  <si>
    <t xml:space="preserve">  • RFI Tracker</t>
  </si>
  <si>
    <t xml:space="preserve">Commercial terms to collect from shortlisted providers/banks (fees, settlement, coverage, SLA).</t>
  </si>
  <si>
    <t xml:space="preserve">  • Sources</t>
  </si>
  <si>
    <t xml:space="preserve">Every URL used, numbered; cited across the tabs.</t>
  </si>
  <si>
    <t xml:space="preserve">Scoring key</t>
  </si>
  <si>
    <t xml:space="preserve">5 = best-in-class · 4 = strong · 3 = adequate · 2 = limited · 1 = weak/absent. Weighted score is out of 5.00; weights (row 4 of Architecture Options) are adjustable.</t>
  </si>
  <si>
    <t xml:space="preserve">IMPORTANT</t>
  </si>
  <si>
    <t xml:space="preserve">Regulatory items — GENIUS Act stablecoin permissibility, money-transmitter licensing, and bank sponsorship — must be confirmed with US counsel and LCX compliance before commitments. Nothing here is legal advice. Provider fees shown are public/indicative; real terms come from the RFI.</t>
  </si>
  <si>
    <t xml:space="preserve">Reconciliation with Phase 1</t>
  </si>
  <si>
    <t xml:space="preserve">'Custody stays at LCX' still holds. For fiat rails the binding constraint is LICENSING, not crypto custody: LCX can rent fiat/stablecoin rails while keeping crypto in its own custody, provided the crypto leg (USDC mint/redeem, settlement) is structured so assets land in LCX custody (e.g., Circle Mint direct + LCX wallets), not parked at the provider.</t>
  </si>
  <si>
    <t xml:space="preserve">Architecture Options — how to stand up the rails</t>
  </si>
  <si>
    <t xml:space="preserve">Weighted attribute scoring (1–5). Weights in row 4 adjustable. D (hybrid) is the recommended sequence; C is the long-term end-state.</t>
  </si>
  <si>
    <t xml:space="preserve">Option</t>
  </si>
  <si>
    <t xml:space="preserve">Time to market</t>
  </si>
  <si>
    <t xml:space="preserve">Licensing / regulatory cover</t>
  </si>
  <si>
    <t xml:space="preserve">Custody-stays-at-LCX fit</t>
  </si>
  <si>
    <t xml:space="preserve">Economics / margin control</t>
  </si>
  <si>
    <t xml:space="preserve">Control &amp; flexibility</t>
  </si>
  <si>
    <t xml:space="preserve">Breadth of rails (ACH/wire/instant/stablecoin)</t>
  </si>
  <si>
    <t xml:space="preserve">Integration effort (higher=easier)</t>
  </si>
  <si>
    <t xml:space="preserve">Scalability / national footprint</t>
  </si>
  <si>
    <t xml:space="preserve">Weighted /5</t>
  </si>
  <si>
    <t xml:space="preserve">Rank</t>
  </si>
  <si>
    <t xml:space="preserve">Verdict</t>
  </si>
  <si>
    <t xml:space="preserve">Weight →</t>
  </si>
  <si>
    <t xml:space="preserve">A. Rent — embedded (e.g., Zero Hash / Cybrid)</t>
  </si>
  <si>
    <t xml:space="preserve">B. Sponsor-bank direct + Circle Mint</t>
  </si>
  <si>
    <t xml:space="preserve">C. Full build — own nationwide MTLs</t>
  </si>
  <si>
    <t xml:space="preserve">D. Hybrid — rent to launch, build in parallel (RECOMMENDED)</t>
  </si>
  <si>
    <t xml:space="preserve">Option notes</t>
  </si>
  <si>
    <t xml:space="preserve">Fastest live; ride 50+ MTLs + BitLicense + MSB; provider handles USD ACH/wire + USDC + settlement + compliance. Trade-off: provider custodies &amp; takes economics — weaker custody-at-LCX and margin.</t>
  </si>
  <si>
    <t xml:space="preserve">LCX contracts a crypto-friendly bank for FBO USD accounts + ACH/wire/instant, Circle Mint for USDC, crypto in LCX custody. More control &amp; economics; LCX still needs its own MTL footprint.</t>
  </si>
  <si>
    <t xml:space="preserve">Own ~49 state MTLs + MSB. Maximum control/economics but 12–18 months and 7-figure cost — an end-state, not a launch path.</t>
  </si>
  <si>
    <t xml:space="preserve">Launch on provider/bank cover in a beachhead set of states while building the MTL footprint; anchor USDC via Circle Mint direct; keep crypto custody at LCX; layer on-ramp aggregators for instant card.</t>
  </si>
  <si>
    <t xml:space="preserve">Provider Matrix — fiat rails, embedded, stablecoin, on-ramps, compliance</t>
  </si>
  <si>
    <t xml:space="preserve">Public info as of July 2026. [n] = Sources tab. Fees indicative; confirm via RFI.</t>
  </si>
  <si>
    <t xml:space="preserve">Provider</t>
  </si>
  <si>
    <t xml:space="preserve">Category</t>
  </si>
  <si>
    <t xml:space="preserve">What it provides</t>
  </si>
  <si>
    <t xml:space="preserve">US standing / licences</t>
  </si>
  <si>
    <t xml:space="preserve">Custody-at-LCX fit</t>
  </si>
  <si>
    <t xml:space="preserve">Economics (public/indicative)</t>
  </si>
  <si>
    <t xml:space="preserve">Notes</t>
  </si>
  <si>
    <t xml:space="preserve">Src</t>
  </si>
  <si>
    <t xml:space="preserve">Zero Hash</t>
  </si>
  <si>
    <t xml:space="preserve">Embedded (rent)</t>
  </si>
  <si>
    <t xml:space="preserve">Turnkey USD ACH+wire, USDC on-chain, settlement, custody &amp; regulatory cover via API.</t>
  </si>
  <si>
    <t xml:space="preserve">NYDFS BitLicense; FinCEN MSB; 50+ US-state MTLs; $65B+ settled.</t>
  </si>
  <si>
    <t xml:space="preserve">Medium — provider custodies the crypto it settles; use for fiat/stablecoin rails, structure crypto to land in LCX custody.</t>
  </si>
  <si>
    <t xml:space="preserve">Spread/fee per transaction (RFI); once-a-day batch fiat settlement.</t>
  </si>
  <si>
    <t xml:space="preserve">Fastest compliant launch; clients incl. Interactive Brokers, Morgan Stanley, Stripe, Securitize.</t>
  </si>
  <si>
    <t xml:space="preserve">1,2</t>
  </si>
  <si>
    <t xml:space="preserve">Cybrid</t>
  </si>
  <si>
    <t xml:space="preserve">Payments-first stablecoin settlement + custody + liquidity + money movement in one stack.</t>
  </si>
  <si>
    <t xml:space="preserve">US MSB / MTL cover (confirm scope).</t>
  </si>
  <si>
    <t xml:space="preserve">Medium — similar to Zero Hash; provider-side custody.</t>
  </si>
  <si>
    <t xml:space="preserve">RFI.</t>
  </si>
  <si>
    <t xml:space="preserve">Strong when banking+wallet+stablecoin should behave as one system; Zero Hash alternative.</t>
  </si>
  <si>
    <t xml:space="preserve">3</t>
  </si>
  <si>
    <t xml:space="preserve">Bridge (Stripe)</t>
  </si>
  <si>
    <t xml:space="preserve">Embedded / stablecoin orchestration</t>
  </si>
  <si>
    <t xml:space="preserve">Stablecoin issuance, custody, FX fiat&lt;&gt;USDC, on/off-ramp, global payouts.</t>
  </si>
  <si>
    <t xml:space="preserve">Stripe-owned ($1.1B); US + 40-currency payout.</t>
  </si>
  <si>
    <t xml:space="preserve">Low-Medium for a US exchange deposit rail; strong for stablecoin payout/treasury.</t>
  </si>
  <si>
    <t xml:space="preserve">RFI; Stripe-grade.</t>
  </si>
  <si>
    <t xml:space="preserve">Best for stablecoin issuance &amp; global payout; less a US fiat-deposit rail.</t>
  </si>
  <si>
    <t xml:space="preserve">4,5</t>
  </si>
  <si>
    <t xml:space="preserve">Sila</t>
  </si>
  <si>
    <t xml:space="preserve">Embedded / BaaS</t>
  </si>
  <si>
    <t xml:space="preserve">Virtual accounts, digital wallets, KYC/KYB, ACH API.</t>
  </si>
  <si>
    <t xml:space="preserve">US BaaS (bank-backed).</t>
  </si>
  <si>
    <t xml:space="preserve">Medium.</t>
  </si>
  <si>
    <t xml:space="preserve">Per-transaction ACH pricing (RFI).</t>
  </si>
  <si>
    <t xml:space="preserve">Developer-friendly ACH + accounts; lighter crypto stack.</t>
  </si>
  <si>
    <t xml:space="preserve">6</t>
  </si>
  <si>
    <t xml:space="preserve">Cross River Bank</t>
  </si>
  <si>
    <t xml:space="preserve">Sponsor bank</t>
  </si>
  <si>
    <t xml:space="preserve">FBO USD accounts, ACH/wire, stablecoin payments platform (fiat + USDC unified, Nov 2025).</t>
  </si>
  <si>
    <t xml:space="preserve">US state-chartered FDIC bank; banks Circle, Coinbase, Lightspark.</t>
  </si>
  <si>
    <t xml:space="preserve">High — LCX keeps crypto custody; bank holds fiat FBO.</t>
  </si>
  <si>
    <t xml:space="preserve">Bank fee schedule (RFI).</t>
  </si>
  <si>
    <t xml:space="preserve">Top sponsor-bank candidate; raised $50M (Mar 2026) for crypto/embedded finance.</t>
  </si>
  <si>
    <t xml:space="preserve">7</t>
  </si>
  <si>
    <t xml:space="preserve">Lead Bank</t>
  </si>
  <si>
    <t xml:space="preserve">BaaS FBO accounts + payment rails; fiat&lt;&gt;crypto conversion.</t>
  </si>
  <si>
    <t xml:space="preserve">State-chartered FDIC bank.</t>
  </si>
  <si>
    <t xml:space="preserve">High.</t>
  </si>
  <si>
    <t xml:space="preserve">Fintech/crypto BaaS; flexible.</t>
  </si>
  <si>
    <t xml:space="preserve">Customers Bank</t>
  </si>
  <si>
    <t xml:space="preserve">High-volume USD settlement; instant settlement network.</t>
  </si>
  <si>
    <t xml:space="preserve">US bank; strong with trading firms/OTC.</t>
  </si>
  <si>
    <t xml:space="preserve">Best for institutional / high-volume settlement (Phase-1 LP settlement synergy).</t>
  </si>
  <si>
    <t xml:space="preserve">Column</t>
  </si>
  <si>
    <t xml:space="preserve">Sponsor bank (API-native)</t>
  </si>
  <si>
    <t xml:space="preserve">Developer-first bank: ACH, wire, FedNow, accounts via API.</t>
  </si>
  <si>
    <t xml:space="preserve">US nationally chartered bank.</t>
  </si>
  <si>
    <t xml:space="preserve">API-native bank; good for programmatic FBO + instant rails.</t>
  </si>
  <si>
    <t xml:space="preserve">FV Bank</t>
  </si>
  <si>
    <t xml:space="preserve">USD banking + integrated digital-asset custody + stablecoin deposits.</t>
  </si>
  <si>
    <t xml:space="preserve">US-licensed (Puerto Rico) bank.</t>
  </si>
  <si>
    <t xml:space="preserve">High — fiat + optional custody.</t>
  </si>
  <si>
    <t xml:space="preserve">Combines USD accounts with stablecoin/crypto deposit support.</t>
  </si>
  <si>
    <t xml:space="preserve">Bank Frick</t>
  </si>
  <si>
    <t xml:space="preserve">Sponsor bank (Liechtenstein)</t>
  </si>
  <si>
    <t xml:space="preserve">EUR/USD banking + crypto; used by Kraken as a funding provider.</t>
  </si>
  <si>
    <t xml:space="preserve">Liechtenstein bank (LCX AG home jurisdiction).</t>
  </si>
  <si>
    <t xml:space="preserve">Jurisdictional synergy with LCX AG; confirm US-person servicing.</t>
  </si>
  <si>
    <t xml:space="preserve">19</t>
  </si>
  <si>
    <t xml:space="preserve">Circle Mint</t>
  </si>
  <si>
    <t xml:space="preserve">Stablecoin rail</t>
  </si>
  <si>
    <t xml:space="preserve">Direct 1:1 USDC/EURC mint &amp; redeem for vetted institutions; CCTP cross-chain.</t>
  </si>
  <si>
    <t xml:space="preserve">Circle (US); GENIUS-aligned; OCC trust charter in progress.</t>
  </si>
  <si>
    <t xml:space="preserve">High — LCX mints/redeems into its own wallets; no spread, no per-tx issuance fee.</t>
  </si>
  <si>
    <t xml:space="preserve">No spread / no issuance fee (Circle Mint).</t>
  </si>
  <si>
    <t xml:space="preserve">The anchor USDC rail. KYB-gated onboarding.</t>
  </si>
  <si>
    <t xml:space="preserve">8,9</t>
  </si>
  <si>
    <t xml:space="preserve">Circle Payments Network (CPN)</t>
  </si>
  <si>
    <t xml:space="preserve">Stablecoin settlement</t>
  </si>
  <si>
    <t xml:space="preserve">Managed stablecoin settlement — interact in fiat while Circle manages USDC lifecycle.</t>
  </si>
  <si>
    <t xml:space="preserve">Circle (US).</t>
  </si>
  <si>
    <t xml:space="preserve">Medium-High (managed).</t>
  </si>
  <si>
    <t xml:space="preserve">Optional managed layer if LCX prefers fiat-only interface.</t>
  </si>
  <si>
    <t xml:space="preserve">10</t>
  </si>
  <si>
    <t xml:space="preserve">Paxos</t>
  </si>
  <si>
    <t xml:space="preserve">Stablecoin issuer / infra</t>
  </si>
  <si>
    <t xml:space="preserve">Issues PYUSD (with PayPal), USDG, and infra; regulated issuance.</t>
  </si>
  <si>
    <t xml:space="preserve">NYDFS trust; OCC charter in progress; GENIUS-oriented.</t>
  </si>
  <si>
    <t xml:space="preserve">Route to PYUSD/USDG support; regulated US issuer.</t>
  </si>
  <si>
    <t xml:space="preserve">11</t>
  </si>
  <si>
    <t xml:space="preserve">Onramper</t>
  </si>
  <si>
    <t xml:space="preserve">On-ramp aggregator</t>
  </si>
  <si>
    <t xml:space="preserve">Aggregates 30+ on-ramps; 175+ payment methods; smart routing.</t>
  </si>
  <si>
    <t xml:space="preserve">Aggregator (providers hold licences).</t>
  </si>
  <si>
    <t xml:space="preserve">N/A (KYC at provider).</t>
  </si>
  <si>
    <t xml:space="preserve">Routing across providers; provider fees apply.</t>
  </si>
  <si>
    <t xml:space="preserve">ALREADY STARTED by LCX. Best single integration for card/instant retail on-ramp.</t>
  </si>
  <si>
    <t xml:space="preserve">12</t>
  </si>
  <si>
    <t xml:space="preserve">Transak</t>
  </si>
  <si>
    <t xml:space="preserve">On-ramp</t>
  </si>
  <si>
    <t xml:space="preserve">ACH + card + local rails; 49 US states.</t>
  </si>
  <si>
    <t xml:space="preserve">US-registered MSB; providers licensed.</t>
  </si>
  <si>
    <t xml:space="preserve">N/A.</t>
  </si>
  <si>
    <t xml:space="preserve">Card 3.5–5.5%; SEPA ~0.99%.</t>
  </si>
  <si>
    <t xml:space="preserve">ALREADY STARTED. Strong US ACH + card coverage.</t>
  </si>
  <si>
    <t xml:space="preserve">13</t>
  </si>
  <si>
    <t xml:space="preserve">MoonPay</t>
  </si>
  <si>
    <t xml:space="preserve">Cards, Apple/Google Pay, bank; 160+ countries.</t>
  </si>
  <si>
    <t xml:space="preserve">Licensed on-ramp.</t>
  </si>
  <si>
    <t xml:space="preserve">Card up to ~4.5%.</t>
  </si>
  <si>
    <t xml:space="preserve">ALREADY STARTED. Best consumer brand; higher card fees.</t>
  </si>
  <si>
    <t xml:space="preserve">Plaid</t>
  </si>
  <si>
    <t xml:space="preserve">Bank-linking &amp; ACH risk</t>
  </si>
  <si>
    <t xml:space="preserve">Bank auth (Auth), Identity, Balance pre-check, Signal ML return-risk score.</t>
  </si>
  <si>
    <t xml:space="preserve">US data network.</t>
  </si>
  <si>
    <t xml:space="preserve">N/A (enables ACH).</t>
  </si>
  <si>
    <t xml:space="preserve">Per-connection / per-call pricing.</t>
  </si>
  <si>
    <t xml:space="preserve">The default US bank-link + ACH-fraud layer (Kraken/Coinbase pattern).</t>
  </si>
  <si>
    <t xml:space="preserve">14,15</t>
  </si>
  <si>
    <t xml:space="preserve">Sumsub / Persona</t>
  </si>
  <si>
    <t xml:space="preserve">KYC/KYB &amp; Travel Rule</t>
  </si>
  <si>
    <t xml:space="preserve">Identity verification, AML screening, on-chain monitoring, Travel Rule module.</t>
  </si>
  <si>
    <t xml:space="preserve">Global KYC vendors.</t>
  </si>
  <si>
    <t xml:space="preserve">Per-verification pricing.</t>
  </si>
  <si>
    <t xml:space="preserve">KYC onboarding + AML; Sumsub bundles Travel Rule.</t>
  </si>
  <si>
    <t xml:space="preserve">16</t>
  </si>
  <si>
    <t xml:space="preserve">Notabene</t>
  </si>
  <si>
    <t xml:space="preserve">Travel Rule network</t>
  </si>
  <si>
    <t xml:space="preserve">VASP-to-VASP Travel Rule messaging (TRP/TRISA/IVMS101).</t>
  </si>
  <si>
    <t xml:space="preserve">Travel Rule specialist.</t>
  </si>
  <si>
    <t xml:space="preserve">SaaS.</t>
  </si>
  <si>
    <t xml:space="preserve">Used by Bitstamp, Luno, Copper; pairs with KYC vendor.</t>
  </si>
  <si>
    <t xml:space="preserve">Stablecoin support policy under the GENIUS Act</t>
  </si>
  <si>
    <t xml:space="preserve">Enacted 18 Jul 2025; implementing rules due Jul 2026; enforcement by Jan 2027. Exchanges may not offer a payment stablecoin to US persons unless the issuer is permitted. CONFIRM with counsel.</t>
  </si>
  <si>
    <t xml:space="preserve">Stablecoin</t>
  </si>
  <si>
    <t xml:space="preserve">Issuer</t>
  </si>
  <si>
    <t xml:space="preserve">GENIUS status (mid-2026)</t>
  </si>
  <si>
    <t xml:space="preserve">Recommended LCX US action</t>
  </si>
  <si>
    <t xml:space="preserve">USDC</t>
  </si>
  <si>
    <t xml:space="preserve">Circle (US)</t>
  </si>
  <si>
    <t xml:space="preserve">Compliant — US-issued, monthly attestations, reserve norms.</t>
  </si>
  <si>
    <t xml:space="preserve">SUPPORT — anchor stablecoin. Mint/redeem direct via Circle Mint (no spread).</t>
  </si>
  <si>
    <t xml:space="preserve">8,17</t>
  </si>
  <si>
    <t xml:space="preserve">EURC</t>
  </si>
  <si>
    <t xml:space="preserve">Aligned (EUR).</t>
  </si>
  <si>
    <t xml:space="preserve">Support for EUR flows via Circle Mint.</t>
  </si>
  <si>
    <t xml:space="preserve">8</t>
  </si>
  <si>
    <t xml:space="preserve">PYUSD</t>
  </si>
  <si>
    <t xml:space="preserve">Paypal / Paxos (US)</t>
  </si>
  <si>
    <t xml:space="preserve">Well-positioned / compliant — US-issued.</t>
  </si>
  <si>
    <t xml:space="preserve">Support — adds PayPal-native demand.</t>
  </si>
  <si>
    <t xml:space="preserve">17,11</t>
  </si>
  <si>
    <t xml:space="preserve">USDG</t>
  </si>
  <si>
    <t xml:space="preserve">Paxos / Global Dollar (US)</t>
  </si>
  <si>
    <t xml:space="preserve">US-issued, regulated issuer.</t>
  </si>
  <si>
    <t xml:space="preserve">Support (optional) — confirm PPSI status.</t>
  </si>
  <si>
    <t xml:space="preserve">USAT</t>
  </si>
  <si>
    <t xml:space="preserve">Anchorage Digital Bank N.A. / Cantor (US)</t>
  </si>
  <si>
    <t xml:space="preserve">US-compliant product launched 27 Jan 2026 (Tether's US entry).</t>
  </si>
  <si>
    <t xml:space="preserve">Support as the US-compliant Tether option in place of USDT.</t>
  </si>
  <si>
    <t xml:space="preserve">17</t>
  </si>
  <si>
    <t xml:space="preserve">USDT</t>
  </si>
  <si>
    <t xml:space="preserve">Tether (El Salvador)</t>
  </si>
  <si>
    <t xml:space="preserve">NOT yet permitted — needs Treasury reciprocity determination (not issued as of mid-2026).</t>
  </si>
  <si>
    <t xml:space="preserve">HOLD / geoblock for US persons until a Treasury determination; use USAT instead.</t>
  </si>
  <si>
    <t xml:space="preserve">USD1</t>
  </si>
  <si>
    <t xml:space="preserve">World Liberty Financial</t>
  </si>
  <si>
    <t xml:space="preserve">PPSI status unconfirmed; politically sensitive.</t>
  </si>
  <si>
    <t xml:space="preserve">DO NOT support for US until counsel confirms PPSI status (matches internal 'handle USD1 with care').</t>
  </si>
  <si>
    <t xml:space="preserve">Licensing &amp; Compliance checklist — to operate US fiat/stablecoin rails</t>
  </si>
  <si>
    <t xml:space="preserve">Confirm scope with counsel &amp; LCX compliance. Status is a starting assessment.</t>
  </si>
  <si>
    <t xml:space="preserve">#</t>
  </si>
  <si>
    <t xml:space="preserve">Requirement</t>
  </si>
  <si>
    <t xml:space="preserve">Why / detail</t>
  </si>
  <si>
    <t xml:space="preserve">Owner</t>
  </si>
  <si>
    <t xml:space="preserve">Status</t>
  </si>
  <si>
    <t xml:space="preserve">1</t>
  </si>
  <si>
    <t xml:space="preserve">FinCEN MSB registration</t>
  </si>
  <si>
    <t xml:space="preserve">Federal baseline for money transmission; required but insufficient alone.</t>
  </si>
  <si>
    <t xml:space="preserve">Compliance (Kajal) / counsel</t>
  </si>
  <si>
    <t xml:space="preserve">Confirm</t>
  </si>
  <si>
    <t xml:space="preserve">2</t>
  </si>
  <si>
    <t xml:space="preserve">State money-transmitter licences (MTLs)</t>
  </si>
  <si>
    <t xml:space="preserve">~49 states+DC (Montana none); $50k–500k+ each; 6–18 mo; national footprint = 7-figure / 12–18 mo. OR operate under a provider/bank's licences (rent).</t>
  </si>
  <si>
    <t xml:space="preserve">Counsel + BD</t>
  </si>
  <si>
    <t xml:space="preserve">Decide build vs rent</t>
  </si>
  <si>
    <t xml:space="preserve">NY BitLicense + NY MTL</t>
  </si>
  <si>
    <t xml:space="preserve">Hardest US jurisdiction; needed to serve NY. Consider excluding NY at launch.</t>
  </si>
  <si>
    <t xml:space="preserve">Counsel</t>
  </si>
  <si>
    <t xml:space="preserve">Decide scope</t>
  </si>
  <si>
    <t xml:space="preserve">4</t>
  </si>
  <si>
    <t xml:space="preserve">Sponsor-bank agreement (FBO accounts)</t>
  </si>
  <si>
    <t xml:space="preserve">Holds customer USD in for-benefit-of accounts; provides ACH/wire/instant.</t>
  </si>
  <si>
    <t xml:space="preserve">BD (Vikash)</t>
  </si>
  <si>
    <t xml:space="preserve">Not started</t>
  </si>
  <si>
    <t xml:space="preserve">5</t>
  </si>
  <si>
    <t xml:space="preserve">BSA/AML program + BSA officer</t>
  </si>
  <si>
    <t xml:space="preserve">Written program, SAR/CTR, sanctions; hire the pending BSA/Compliance Officer.</t>
  </si>
  <si>
    <t xml:space="preserve">Compliance</t>
  </si>
  <si>
    <t xml:space="preserve">Hire pending (from roadmap)</t>
  </si>
  <si>
    <t xml:space="preserve">KYC/KYB vendor</t>
  </si>
  <si>
    <t xml:space="preserve">Identity verification + AML screening at onboarding (Sumsub / Persona).</t>
  </si>
  <si>
    <t xml:space="preserve">Compliance / Eng</t>
  </si>
  <si>
    <t xml:space="preserve">Select</t>
  </si>
  <si>
    <t xml:space="preserve">Travel Rule solution</t>
  </si>
  <si>
    <t xml:space="preserve">VASP-to-VASP data sharing above threshold (Notabene / Sumsub).</t>
  </si>
  <si>
    <t xml:space="preserve">OFAC / sanctions screening</t>
  </si>
  <si>
    <t xml:space="preserve">Screen users &amp; wallet addresses; block sanctioned parties.</t>
  </si>
  <si>
    <t xml:space="preserve">9</t>
  </si>
  <si>
    <t xml:space="preserve">IRS 1099-DA reporting</t>
  </si>
  <si>
    <t xml:space="preserve">2026 broker digital-asset reporting; wire into tax/reporting.</t>
  </si>
  <si>
    <t xml:space="preserve">Finance / Eng</t>
  </si>
  <si>
    <t xml:space="preserve">Plan</t>
  </si>
  <si>
    <t xml:space="preserve">ACH fraud &amp; returns controls</t>
  </si>
  <si>
    <t xml:space="preserve">Plaid Auth/Identity/Balance/Signal; 7-day withdrawal hold on ACH deposits (Kraken/Coinbase pattern).</t>
  </si>
  <si>
    <t xml:space="preserve">Eng / Risk</t>
  </si>
  <si>
    <t xml:space="preserve">Design</t>
  </si>
  <si>
    <t xml:space="preserve">GENIUS-compliant stablecoin list</t>
  </si>
  <si>
    <t xml:space="preserve">Support only permitted payment stablecoins for US persons (see Stablecoin Policy tab).</t>
  </si>
  <si>
    <t xml:space="preserve">Compliance / Product</t>
  </si>
  <si>
    <t xml:space="preserve">Adopt policy</t>
  </si>
  <si>
    <t xml:space="preserve">Reg-exam &amp; audit readiness</t>
  </si>
  <si>
    <t xml:space="preserve">Policies, recordkeeping, independent AML review.</t>
  </si>
  <si>
    <t xml:space="preserve">RFI / Due-diligence tracker — providers &amp; sponsor banks</t>
  </si>
  <si>
    <t xml:space="preserve">Yellow = fill during outreach.</t>
  </si>
  <si>
    <t xml:space="preserve">States covered</t>
  </si>
  <si>
    <t xml:space="preserve">ACH (fee/speed)</t>
  </si>
  <si>
    <t xml:space="preserve">Wire (fee/speed)</t>
  </si>
  <si>
    <t xml:space="preserve">Instant (RTP/FedNow)</t>
  </si>
  <si>
    <t xml:space="preserve">Card / debit</t>
  </si>
  <si>
    <t xml:space="preserve">USDC mint/redeem</t>
  </si>
  <si>
    <t xml:space="preserve">Other stablecoins</t>
  </si>
  <si>
    <t xml:space="preserve">Settlement cycle</t>
  </si>
  <si>
    <t xml:space="preserve">Custody model</t>
  </si>
  <si>
    <t xml:space="preserve">Licences relied on</t>
  </si>
  <si>
    <t xml:space="preserve">Integration time</t>
  </si>
  <si>
    <t xml:space="preserve">Pricing / min</t>
  </si>
  <si>
    <t xml:space="preserve">EXAMPLE — Cross River</t>
  </si>
  <si>
    <t xml:space="preserve">BD</t>
  </si>
  <si>
    <t xml:space="preserve">In discussion</t>
  </si>
  <si>
    <t xml:space="preserve">48 (excl NY,?)</t>
  </si>
  <si>
    <t xml:space="preserve">$0 / T+1</t>
  </si>
  <si>
    <t xml:space="preserve">$10 / same-day</t>
  </si>
  <si>
    <t xml:space="preserve">FedNow + RTP</t>
  </si>
  <si>
    <t xml:space="preserve">via partner</t>
  </si>
  <si>
    <t xml:space="preserve">N/A (use Circle)</t>
  </si>
  <si>
    <t xml:space="preserve">—</t>
  </si>
  <si>
    <t xml:space="preserve">T+1 net</t>
  </si>
  <si>
    <t xml:space="preserve">LCX self-custody crypto</t>
  </si>
  <si>
    <t xml:space="preserve">Bank charter</t>
  </si>
  <si>
    <t xml:space="preserve">6–10 wks</t>
  </si>
  <si>
    <t xml:space="preserve">Tiered + monthly min</t>
  </si>
  <si>
    <t xml:space="preserve">Sources</t>
  </si>
  <si>
    <t xml:space="preserve">Public sources consulted, July 2026.</t>
  </si>
  <si>
    <t xml:space="preserve">Source</t>
  </si>
  <si>
    <t xml:space="preserve">URL</t>
  </si>
  <si>
    <t xml:space="preserve">Zero Hash — crypto trading infrastructure</t>
  </si>
  <si>
    <t xml:space="preserve">https://zerohash.com/products/crypto-trading-infrastructure</t>
  </si>
  <si>
    <t xml:space="preserve">Zero Hash — account funding (ACH/wire/USDC)</t>
  </si>
  <si>
    <t xml:space="preserve">https://docs.zerohash.com/docs/fund-overview</t>
  </si>
  <si>
    <t xml:space="preserve">Cybrid vs Zero Hash — embedded crypto infrastructure</t>
  </si>
  <si>
    <t xml:space="preserve">https://www.cybrid.xyz/top-alternative-zero-hash-embedded-crypto-infrastructure</t>
  </si>
  <si>
    <t xml:space="preserve">Bridge.xyz — stablecoin API for payouts &amp; orchestration</t>
  </si>
  <si>
    <t xml:space="preserve">https://eco.com/support/en/articles/15083178-bridge-xyz-stablecoin-api-for-payouts-and-orchestration</t>
  </si>
  <si>
    <t xml:space="preserve">Stripe–Bridge acquisition analysis</t>
  </si>
  <si>
    <t xml:space="preserve">https://www.spark.money/research/stripe-bridge-acquisition-stablecoin-payments</t>
  </si>
  <si>
    <t xml:space="preserve">Sila — BaaS payment API (overview)</t>
  </si>
  <si>
    <t xml:space="preserve">https://sourceforge.net/software/product/Cybrid/alternatives</t>
  </si>
  <si>
    <t xml:space="preserve">Best crypto-friendly US banks 2026 (Cross River, Lead, Customers, Column, FV Bank)</t>
  </si>
  <si>
    <t xml:space="preserve">https://www.datawallet.com/crypto/best-crypto-friendly-banks-usa</t>
  </si>
  <si>
    <t xml:space="preserve">Circle Mint — mint/redeem USDC</t>
  </si>
  <si>
    <t xml:space="preserve">https://www.circle.com/circle-mint</t>
  </si>
  <si>
    <t xml:space="preserve">Standard Chartered &amp; Circle — G-SIB access to USDC mint/redeem</t>
  </si>
  <si>
    <t xml:space="preserve">https://www.circle.com/pressroom/standard-chartered-and-circle-launch-launch-first-g-sib-led-integrated-access-to-usdc-minting-and-redemption</t>
  </si>
  <si>
    <t xml:space="preserve">Circle launches CPN Managed Payments</t>
  </si>
  <si>
    <t xml:space="preserve">https://www.circle.com/pressroom/circle-launches-cpn-managed-payments-a-full-stack-platform-for-seamless-stablecoin-settlement</t>
  </si>
  <si>
    <t xml:space="preserve">GENIUS Act comprehensive guide (Paul Hastings)</t>
  </si>
  <si>
    <t xml:space="preserve">https://www.paulhastings.com/insights/crypto-policy-tracker/the-genius-act-a-comprehensive-guide-to-us-stablecoin-regulation</t>
  </si>
  <si>
    <t xml:space="preserve">Onramper — fiat on-ramp aggregator (comparison)</t>
  </si>
  <si>
    <t xml:space="preserve">https://www.seamlesschex.com/blog/best-fiat-on-ramp-providers-in-2026</t>
  </si>
  <si>
    <t xml:space="preserve">MoonPay vs Transak on-ramp comparison 2026</t>
  </si>
  <si>
    <t xml:space="preserve">https://www.crossmint.com/learn/moonpay-vs-transak</t>
  </si>
  <si>
    <t xml:space="preserve">Plaid — crypto onboarding &amp; funding</t>
  </si>
  <si>
    <t xml:space="preserve">https://plaid.com/use-cases/crypto/</t>
  </si>
  <si>
    <t xml:space="preserve">Plaid — ACH risk / reduce returns</t>
  </si>
  <si>
    <t xml:space="preserve">https://plaid.com/resources/ach/ach-risk/</t>
  </si>
  <si>
    <t xml:space="preserve">Crypto Travel Rule VASP compliance 2026 (Notabene/Sumsub)</t>
  </si>
  <si>
    <t xml:space="preserve">https://www.blockchain-council.org/cryptocurrency/crypto-travel-rule-vasp-compliance-2026/</t>
  </si>
  <si>
    <t xml:space="preserve">Why USDC/USAT are GENIUS-compliant and USDT isn't (CCN)</t>
  </si>
  <si>
    <t xml:space="preserve">https://www.ccn.com/education/crypto/why-usat-and-usdc-are-genius-act-compliant-and-usdt-isnt/</t>
  </si>
  <si>
    <t xml:space="preserve">Money Transmitter License requirements 2026 (Finextra)</t>
  </si>
  <si>
    <t xml:space="preserve">https://www.finextra.com/blogposting/30783/money-transmitter-license-in-2026-requirements-costs-and-a-practical-roadmap-for-fintechs</t>
  </si>
  <si>
    <t xml:space="preserve">Kraken USD funding — Bank Frick / MVB, ACH via Plaid</t>
  </si>
  <si>
    <t xml:space="preserve">https://support.kraken.com/articles/8795459449492-how-do-i-fund-my-account-with-usd-using-ach-via-plaid-</t>
  </si>
  <si>
    <t xml:space="preserve">GENIUS Act text — S.394 119th Congress</t>
  </si>
  <si>
    <t xml:space="preserve">https://www.congress.gov/bill/119th-congress/senate-bill/394/text</t>
  </si>
  <si>
    <t xml:space="preserve">Cross River launches stablecoin payments platform (fiat + USDC)</t>
  </si>
  <si>
    <t xml:space="preserve">FedNow vs RTP 2026 — instant payment rails</t>
  </si>
  <si>
    <t xml:space="preserve">https://eco.com/support/en/articles/15650251-fednow-vs-rtp-2026-real-time-payment-rails-compared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</si>
</sst>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155C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1F4E79"/>
        <bgColor rgb="FF1155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B6"/>
        <bgColor rgb="FFF8D7DA"/>
      </patternFill>
    </fill>
    <fill>
      <patternFill patternType="solid">
        <fgColor rgb="FFF8D7DA"/>
        <bgColor rgb="FFFCE4B6"/>
      </patternFill>
    </fill>
    <fill>
      <patternFill patternType="solid">
        <fgColor rgb="FFFFF6D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D5"/>
      <rgbColor rgb="FFF2F2F2"/>
      <rgbColor rgb="FF660066"/>
      <rgbColor rgb="FFFF8080"/>
      <rgbColor rgb="FF1155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F3A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30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/>
    </row>
    <row r="5" customFormat="false" ht="23.8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23.85" hidden="false" customHeight="false" outlineLevel="0" collapsed="false">
      <c r="A8" s="3" t="s">
        <v>7</v>
      </c>
      <c r="B8" s="4" t="s">
        <v>8</v>
      </c>
    </row>
    <row r="9" customFormat="false" ht="23.85" hidden="false" customHeight="false" outlineLevel="0" collapsed="false">
      <c r="A9" s="3" t="s">
        <v>9</v>
      </c>
      <c r="B9" s="4" t="s">
        <v>10</v>
      </c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23.85" hidden="false" customHeight="false" outlineLevel="0" collapsed="false">
      <c r="A13" s="3" t="s">
        <v>17</v>
      </c>
      <c r="B13" s="4" t="s">
        <v>18</v>
      </c>
    </row>
    <row r="14" customFormat="false" ht="35.05" hidden="false" customHeight="false" outlineLevel="0" collapsed="false">
      <c r="A14" s="3" t="s">
        <v>19</v>
      </c>
      <c r="B14" s="4" t="s">
        <v>20</v>
      </c>
    </row>
    <row r="15" customFormat="false" ht="35.05" hidden="false" customHeight="false" outlineLevel="0" collapsed="false">
      <c r="A15" s="3" t="s">
        <v>21</v>
      </c>
      <c r="B15" s="4" t="s">
        <v>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0" hidden="false" customHeight="tru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</row>
    <row r="4" customFormat="false" ht="15" hidden="false" customHeight="false" outlineLevel="0" collapsed="false">
      <c r="A4" s="7" t="s">
        <v>37</v>
      </c>
      <c r="B4" s="8" t="n">
        <v>0.2</v>
      </c>
      <c r="C4" s="8" t="n">
        <v>0.18</v>
      </c>
      <c r="D4" s="8" t="n">
        <v>0.12</v>
      </c>
      <c r="E4" s="8" t="n">
        <v>0.15</v>
      </c>
      <c r="F4" s="8" t="n">
        <v>0.1</v>
      </c>
      <c r="G4" s="8" t="n">
        <v>0.12</v>
      </c>
      <c r="H4" s="8" t="n">
        <v>0.08</v>
      </c>
      <c r="I4" s="8" t="n">
        <v>0.05</v>
      </c>
      <c r="J4" s="9"/>
      <c r="K4" s="9"/>
      <c r="L4" s="9"/>
    </row>
    <row r="5" customFormat="false" ht="23.85" hidden="false" customHeight="false" outlineLevel="0" collapsed="false">
      <c r="A5" s="10" t="s">
        <v>38</v>
      </c>
      <c r="B5" s="11" t="n">
        <v>5</v>
      </c>
      <c r="C5" s="11" t="n">
        <v>5</v>
      </c>
      <c r="D5" s="11" t="n">
        <v>2</v>
      </c>
      <c r="E5" s="11" t="n">
        <v>2</v>
      </c>
      <c r="F5" s="11" t="n">
        <v>2</v>
      </c>
      <c r="G5" s="11" t="n">
        <v>5</v>
      </c>
      <c r="H5" s="11" t="n">
        <v>5</v>
      </c>
      <c r="I5" s="11" t="n">
        <v>3</v>
      </c>
      <c r="J5" s="12" t="n">
        <f aca="false">SUMPRODUCT(B5:I5,$B$4:$I$4)</f>
        <v>3.79</v>
      </c>
      <c r="K5" s="11" t="n">
        <f aca="false">RANK(J5,$J$5:$J$8)</f>
        <v>3</v>
      </c>
      <c r="L5" s="11" t="str">
        <f aca="false">IF(J5=MAX($J$5:$J$8),"Recommended","")</f>
        <v/>
      </c>
    </row>
    <row r="6" customFormat="false" ht="23.85" hidden="false" customHeight="false" outlineLevel="0" collapsed="false">
      <c r="A6" s="10" t="s">
        <v>39</v>
      </c>
      <c r="B6" s="11" t="n">
        <v>3</v>
      </c>
      <c r="C6" s="11" t="n">
        <v>3</v>
      </c>
      <c r="D6" s="11" t="n">
        <v>5</v>
      </c>
      <c r="E6" s="11" t="n">
        <v>4</v>
      </c>
      <c r="F6" s="11" t="n">
        <v>4</v>
      </c>
      <c r="G6" s="11" t="n">
        <v>4</v>
      </c>
      <c r="H6" s="11" t="n">
        <v>3</v>
      </c>
      <c r="I6" s="11" t="n">
        <v>4</v>
      </c>
      <c r="J6" s="12" t="n">
        <f aca="false">SUMPRODUCT(B6:I6,$B$4:$I$4)</f>
        <v>3.66</v>
      </c>
      <c r="K6" s="11" t="n">
        <f aca="false">RANK(J6,$J$5:$J$8)</f>
        <v>4</v>
      </c>
      <c r="L6" s="11" t="str">
        <f aca="false">IF(J6=MAX($J$5:$J$8),"Recommended","")</f>
        <v/>
      </c>
    </row>
    <row r="7" customFormat="false" ht="23.85" hidden="false" customHeight="false" outlineLevel="0" collapsed="false">
      <c r="A7" s="10" t="s">
        <v>40</v>
      </c>
      <c r="B7" s="11" t="n">
        <v>1</v>
      </c>
      <c r="C7" s="11" t="n">
        <v>5</v>
      </c>
      <c r="D7" s="11" t="n">
        <v>5</v>
      </c>
      <c r="E7" s="11" t="n">
        <v>5</v>
      </c>
      <c r="F7" s="11" t="n">
        <v>5</v>
      </c>
      <c r="G7" s="11" t="n">
        <v>5</v>
      </c>
      <c r="H7" s="11" t="n">
        <v>1</v>
      </c>
      <c r="I7" s="11" t="n">
        <v>5</v>
      </c>
      <c r="J7" s="12" t="n">
        <f aca="false">SUMPRODUCT(B7:I7,$B$4:$I$4)</f>
        <v>3.88</v>
      </c>
      <c r="K7" s="11" t="n">
        <f aca="false">RANK(J7,$J$5:$J$8)</f>
        <v>2</v>
      </c>
      <c r="L7" s="11" t="str">
        <f aca="false">IF(J7=MAX($J$5:$J$8),"Recommended","")</f>
        <v/>
      </c>
    </row>
    <row r="8" customFormat="false" ht="23.85" hidden="false" customHeight="false" outlineLevel="0" collapsed="false">
      <c r="A8" s="13" t="s">
        <v>41</v>
      </c>
      <c r="B8" s="11" t="n">
        <v>4</v>
      </c>
      <c r="C8" s="11" t="n">
        <v>4</v>
      </c>
      <c r="D8" s="11" t="n">
        <v>4</v>
      </c>
      <c r="E8" s="11" t="n">
        <v>4</v>
      </c>
      <c r="F8" s="11" t="n">
        <v>4</v>
      </c>
      <c r="G8" s="11" t="n">
        <v>5</v>
      </c>
      <c r="H8" s="11" t="n">
        <v>4</v>
      </c>
      <c r="I8" s="11" t="n">
        <v>5</v>
      </c>
      <c r="J8" s="12" t="n">
        <f aca="false">SUMPRODUCT(B8:I8,$B$4:$I$4)</f>
        <v>4.17</v>
      </c>
      <c r="K8" s="11" t="n">
        <f aca="false">RANK(J8,$J$5:$J$8)</f>
        <v>1</v>
      </c>
      <c r="L8" s="11" t="str">
        <f aca="false">IF(J8=MAX($J$5:$J$8),"Recommended","")</f>
        <v>Recommended</v>
      </c>
    </row>
    <row r="10" customFormat="false" ht="15" hidden="false" customHeight="false" outlineLevel="0" collapsed="false">
      <c r="A10" s="14" t="s">
        <v>42</v>
      </c>
    </row>
    <row r="11" customFormat="false" ht="23.85" hidden="false" customHeight="true" outlineLevel="0" collapsed="false">
      <c r="A11" s="5" t="s">
        <v>38</v>
      </c>
      <c r="B11" s="15" t="s">
        <v>43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23.85" hidden="false" customHeight="true" outlineLevel="0" collapsed="false">
      <c r="A12" s="5" t="s">
        <v>39</v>
      </c>
      <c r="B12" s="15" t="s">
        <v>44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customFormat="false" ht="15" hidden="false" customHeight="true" outlineLevel="0" collapsed="false">
      <c r="A13" s="5" t="s">
        <v>40</v>
      </c>
      <c r="B13" s="15" t="s">
        <v>45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customFormat="false" ht="23.85" hidden="false" customHeight="true" outlineLevel="0" collapsed="false">
      <c r="A14" s="5" t="s">
        <v>41</v>
      </c>
      <c r="B14" s="15" t="s">
        <v>46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</sheetData>
  <mergeCells count="6">
    <mergeCell ref="A1:L1"/>
    <mergeCell ref="A2:L2"/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7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6" t="s">
        <v>55</v>
      </c>
      <c r="H3" s="6" t="s">
        <v>56</v>
      </c>
    </row>
    <row r="4" customFormat="false" ht="73.5" hidden="false" customHeight="true" outlineLevel="0" collapsed="false">
      <c r="A4" s="10" t="s">
        <v>57</v>
      </c>
      <c r="B4" s="16" t="s">
        <v>58</v>
      </c>
      <c r="C4" s="16" t="s">
        <v>59</v>
      </c>
      <c r="D4" s="16" t="s">
        <v>60</v>
      </c>
      <c r="E4" s="17" t="s">
        <v>61</v>
      </c>
      <c r="F4" s="16" t="s">
        <v>62</v>
      </c>
      <c r="G4" s="16" t="s">
        <v>63</v>
      </c>
      <c r="H4" s="16" t="s">
        <v>64</v>
      </c>
    </row>
    <row r="5" customFormat="false" ht="73.5" hidden="false" customHeight="true" outlineLevel="0" collapsed="false">
      <c r="A5" s="10" t="s">
        <v>65</v>
      </c>
      <c r="B5" s="16" t="s">
        <v>58</v>
      </c>
      <c r="C5" s="16" t="s">
        <v>66</v>
      </c>
      <c r="D5" s="16" t="s">
        <v>67</v>
      </c>
      <c r="E5" s="17" t="s">
        <v>68</v>
      </c>
      <c r="F5" s="16" t="s">
        <v>69</v>
      </c>
      <c r="G5" s="16" t="s">
        <v>70</v>
      </c>
      <c r="H5" s="16" t="s">
        <v>71</v>
      </c>
    </row>
    <row r="6" customFormat="false" ht="73.5" hidden="false" customHeight="true" outlineLevel="0" collapsed="false">
      <c r="A6" s="10" t="s">
        <v>72</v>
      </c>
      <c r="B6" s="16" t="s">
        <v>73</v>
      </c>
      <c r="C6" s="16" t="s">
        <v>74</v>
      </c>
      <c r="D6" s="16" t="s">
        <v>75</v>
      </c>
      <c r="E6" s="18" t="s">
        <v>76</v>
      </c>
      <c r="F6" s="16" t="s">
        <v>77</v>
      </c>
      <c r="G6" s="16" t="s">
        <v>78</v>
      </c>
      <c r="H6" s="16" t="s">
        <v>79</v>
      </c>
    </row>
    <row r="7" customFormat="false" ht="73.5" hidden="false" customHeight="true" outlineLevel="0" collapsed="false">
      <c r="A7" s="10" t="s">
        <v>80</v>
      </c>
      <c r="B7" s="16" t="s">
        <v>81</v>
      </c>
      <c r="C7" s="16" t="s">
        <v>82</v>
      </c>
      <c r="D7" s="16" t="s">
        <v>83</v>
      </c>
      <c r="E7" s="17" t="s">
        <v>84</v>
      </c>
      <c r="F7" s="16" t="s">
        <v>85</v>
      </c>
      <c r="G7" s="16" t="s">
        <v>86</v>
      </c>
      <c r="H7" s="16" t="s">
        <v>87</v>
      </c>
    </row>
    <row r="8" customFormat="false" ht="73.5" hidden="false" customHeight="true" outlineLevel="0" collapsed="false">
      <c r="A8" s="10" t="s">
        <v>88</v>
      </c>
      <c r="B8" s="16" t="s">
        <v>89</v>
      </c>
      <c r="C8" s="16" t="s">
        <v>90</v>
      </c>
      <c r="D8" s="16" t="s">
        <v>91</v>
      </c>
      <c r="E8" s="19" t="s">
        <v>92</v>
      </c>
      <c r="F8" s="16" t="s">
        <v>93</v>
      </c>
      <c r="G8" s="16" t="s">
        <v>94</v>
      </c>
      <c r="H8" s="16" t="s">
        <v>95</v>
      </c>
    </row>
    <row r="9" customFormat="false" ht="73.5" hidden="false" customHeight="true" outlineLevel="0" collapsed="false">
      <c r="A9" s="10" t="s">
        <v>96</v>
      </c>
      <c r="B9" s="16" t="s">
        <v>89</v>
      </c>
      <c r="C9" s="16" t="s">
        <v>97</v>
      </c>
      <c r="D9" s="16" t="s">
        <v>98</v>
      </c>
      <c r="E9" s="19" t="s">
        <v>99</v>
      </c>
      <c r="F9" s="16" t="s">
        <v>69</v>
      </c>
      <c r="G9" s="16" t="s">
        <v>100</v>
      </c>
      <c r="H9" s="16" t="s">
        <v>95</v>
      </c>
    </row>
    <row r="10" customFormat="false" ht="73.5" hidden="false" customHeight="true" outlineLevel="0" collapsed="false">
      <c r="A10" s="10" t="s">
        <v>101</v>
      </c>
      <c r="B10" s="16" t="s">
        <v>89</v>
      </c>
      <c r="C10" s="16" t="s">
        <v>102</v>
      </c>
      <c r="D10" s="16" t="s">
        <v>103</v>
      </c>
      <c r="E10" s="19" t="s">
        <v>99</v>
      </c>
      <c r="F10" s="16" t="s">
        <v>69</v>
      </c>
      <c r="G10" s="16" t="s">
        <v>104</v>
      </c>
      <c r="H10" s="16" t="s">
        <v>95</v>
      </c>
    </row>
    <row r="11" customFormat="false" ht="73.5" hidden="false" customHeight="true" outlineLevel="0" collapsed="false">
      <c r="A11" s="10" t="s">
        <v>105</v>
      </c>
      <c r="B11" s="16" t="s">
        <v>106</v>
      </c>
      <c r="C11" s="16" t="s">
        <v>107</v>
      </c>
      <c r="D11" s="16" t="s">
        <v>108</v>
      </c>
      <c r="E11" s="19" t="s">
        <v>99</v>
      </c>
      <c r="F11" s="16" t="s">
        <v>69</v>
      </c>
      <c r="G11" s="16" t="s">
        <v>109</v>
      </c>
      <c r="H11" s="16" t="s">
        <v>95</v>
      </c>
    </row>
    <row r="12" customFormat="false" ht="73.5" hidden="false" customHeight="true" outlineLevel="0" collapsed="false">
      <c r="A12" s="10" t="s">
        <v>110</v>
      </c>
      <c r="B12" s="16" t="s">
        <v>89</v>
      </c>
      <c r="C12" s="16" t="s">
        <v>111</v>
      </c>
      <c r="D12" s="16" t="s">
        <v>112</v>
      </c>
      <c r="E12" s="19" t="s">
        <v>113</v>
      </c>
      <c r="F12" s="16" t="s">
        <v>69</v>
      </c>
      <c r="G12" s="16" t="s">
        <v>114</v>
      </c>
      <c r="H12" s="16" t="s">
        <v>95</v>
      </c>
    </row>
    <row r="13" customFormat="false" ht="73.5" hidden="false" customHeight="true" outlineLevel="0" collapsed="false">
      <c r="A13" s="10" t="s">
        <v>115</v>
      </c>
      <c r="B13" s="16" t="s">
        <v>116</v>
      </c>
      <c r="C13" s="16" t="s">
        <v>117</v>
      </c>
      <c r="D13" s="16" t="s">
        <v>118</v>
      </c>
      <c r="E13" s="19" t="s">
        <v>99</v>
      </c>
      <c r="F13" s="16" t="s">
        <v>69</v>
      </c>
      <c r="G13" s="16" t="s">
        <v>119</v>
      </c>
      <c r="H13" s="16" t="s">
        <v>120</v>
      </c>
    </row>
    <row r="14" customFormat="false" ht="73.5" hidden="false" customHeight="true" outlineLevel="0" collapsed="false">
      <c r="A14" s="10" t="s">
        <v>121</v>
      </c>
      <c r="B14" s="16" t="s">
        <v>122</v>
      </c>
      <c r="C14" s="16" t="s">
        <v>123</v>
      </c>
      <c r="D14" s="16" t="s">
        <v>124</v>
      </c>
      <c r="E14" s="19" t="s">
        <v>125</v>
      </c>
      <c r="F14" s="16" t="s">
        <v>126</v>
      </c>
      <c r="G14" s="16" t="s">
        <v>127</v>
      </c>
      <c r="H14" s="16" t="s">
        <v>128</v>
      </c>
    </row>
    <row r="15" customFormat="false" ht="73.5" hidden="false" customHeight="true" outlineLevel="0" collapsed="false">
      <c r="A15" s="10" t="s">
        <v>129</v>
      </c>
      <c r="B15" s="16" t="s">
        <v>130</v>
      </c>
      <c r="C15" s="16" t="s">
        <v>131</v>
      </c>
      <c r="D15" s="16" t="s">
        <v>132</v>
      </c>
      <c r="E15" s="17" t="s">
        <v>133</v>
      </c>
      <c r="F15" s="16" t="s">
        <v>69</v>
      </c>
      <c r="G15" s="16" t="s">
        <v>134</v>
      </c>
      <c r="H15" s="16" t="s">
        <v>135</v>
      </c>
    </row>
    <row r="16" customFormat="false" ht="73.5" hidden="false" customHeight="true" outlineLevel="0" collapsed="false">
      <c r="A16" s="10" t="s">
        <v>136</v>
      </c>
      <c r="B16" s="16" t="s">
        <v>137</v>
      </c>
      <c r="C16" s="16" t="s">
        <v>138</v>
      </c>
      <c r="D16" s="16" t="s">
        <v>139</v>
      </c>
      <c r="E16" s="19" t="s">
        <v>99</v>
      </c>
      <c r="F16" s="16" t="s">
        <v>69</v>
      </c>
      <c r="G16" s="16" t="s">
        <v>140</v>
      </c>
      <c r="H16" s="16" t="s">
        <v>141</v>
      </c>
    </row>
    <row r="17" customFormat="false" ht="73.5" hidden="false" customHeight="true" outlineLevel="0" collapsed="false">
      <c r="A17" s="10" t="s">
        <v>142</v>
      </c>
      <c r="B17" s="16" t="s">
        <v>143</v>
      </c>
      <c r="C17" s="16" t="s">
        <v>144</v>
      </c>
      <c r="D17" s="16" t="s">
        <v>145</v>
      </c>
      <c r="E17" s="16" t="s">
        <v>146</v>
      </c>
      <c r="F17" s="16" t="s">
        <v>147</v>
      </c>
      <c r="G17" s="16" t="s">
        <v>148</v>
      </c>
      <c r="H17" s="16" t="s">
        <v>149</v>
      </c>
    </row>
    <row r="18" customFormat="false" ht="73.5" hidden="false" customHeight="true" outlineLevel="0" collapsed="false">
      <c r="A18" s="10" t="s">
        <v>150</v>
      </c>
      <c r="B18" s="16" t="s">
        <v>151</v>
      </c>
      <c r="C18" s="16" t="s">
        <v>152</v>
      </c>
      <c r="D18" s="16" t="s">
        <v>153</v>
      </c>
      <c r="E18" s="16" t="s">
        <v>154</v>
      </c>
      <c r="F18" s="16" t="s">
        <v>155</v>
      </c>
      <c r="G18" s="16" t="s">
        <v>156</v>
      </c>
      <c r="H18" s="16" t="s">
        <v>157</v>
      </c>
    </row>
    <row r="19" customFormat="false" ht="73.5" hidden="false" customHeight="true" outlineLevel="0" collapsed="false">
      <c r="A19" s="10" t="s">
        <v>158</v>
      </c>
      <c r="B19" s="16" t="s">
        <v>151</v>
      </c>
      <c r="C19" s="16" t="s">
        <v>159</v>
      </c>
      <c r="D19" s="16" t="s">
        <v>160</v>
      </c>
      <c r="E19" s="16" t="s">
        <v>154</v>
      </c>
      <c r="F19" s="16" t="s">
        <v>161</v>
      </c>
      <c r="G19" s="16" t="s">
        <v>162</v>
      </c>
      <c r="H19" s="16" t="s">
        <v>157</v>
      </c>
    </row>
    <row r="20" customFormat="false" ht="73.5" hidden="false" customHeight="true" outlineLevel="0" collapsed="false">
      <c r="A20" s="10" t="s">
        <v>163</v>
      </c>
      <c r="B20" s="16" t="s">
        <v>164</v>
      </c>
      <c r="C20" s="16" t="s">
        <v>165</v>
      </c>
      <c r="D20" s="16" t="s">
        <v>166</v>
      </c>
      <c r="E20" s="16" t="s">
        <v>167</v>
      </c>
      <c r="F20" s="16" t="s">
        <v>168</v>
      </c>
      <c r="G20" s="16" t="s">
        <v>169</v>
      </c>
      <c r="H20" s="16" t="s">
        <v>170</v>
      </c>
    </row>
    <row r="21" customFormat="false" ht="73.5" hidden="false" customHeight="true" outlineLevel="0" collapsed="false">
      <c r="A21" s="10" t="s">
        <v>171</v>
      </c>
      <c r="B21" s="16" t="s">
        <v>172</v>
      </c>
      <c r="C21" s="16" t="s">
        <v>173</v>
      </c>
      <c r="D21" s="16" t="s">
        <v>174</v>
      </c>
      <c r="E21" s="16" t="s">
        <v>154</v>
      </c>
      <c r="F21" s="16" t="s">
        <v>175</v>
      </c>
      <c r="G21" s="16" t="s">
        <v>176</v>
      </c>
      <c r="H21" s="16" t="s">
        <v>177</v>
      </c>
    </row>
    <row r="22" customFormat="false" ht="73.5" hidden="false" customHeight="true" outlineLevel="0" collapsed="false">
      <c r="A22" s="10" t="s">
        <v>178</v>
      </c>
      <c r="B22" s="16" t="s">
        <v>179</v>
      </c>
      <c r="C22" s="16" t="s">
        <v>180</v>
      </c>
      <c r="D22" s="16" t="s">
        <v>181</v>
      </c>
      <c r="E22" s="16" t="s">
        <v>154</v>
      </c>
      <c r="F22" s="16" t="s">
        <v>182</v>
      </c>
      <c r="G22" s="16" t="s">
        <v>183</v>
      </c>
      <c r="H22" s="16" t="s">
        <v>177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8"/>
  </cols>
  <sheetData>
    <row r="1" customFormat="false" ht="30" hidden="false" customHeight="true" outlineLevel="0" collapsed="false">
      <c r="A1" s="1" t="s">
        <v>184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185</v>
      </c>
      <c r="B2" s="2"/>
      <c r="C2" s="2"/>
      <c r="D2" s="2"/>
      <c r="E2" s="2"/>
    </row>
    <row r="3" customFormat="false" ht="30" hidden="false" customHeight="true" outlineLevel="0" collapsed="false">
      <c r="A3" s="6" t="s">
        <v>186</v>
      </c>
      <c r="B3" s="6" t="s">
        <v>187</v>
      </c>
      <c r="C3" s="6" t="s">
        <v>188</v>
      </c>
      <c r="D3" s="6" t="s">
        <v>189</v>
      </c>
      <c r="E3" s="6" t="s">
        <v>56</v>
      </c>
    </row>
    <row r="4" customFormat="false" ht="48" hidden="false" customHeight="true" outlineLevel="0" collapsed="false">
      <c r="A4" s="10" t="s">
        <v>190</v>
      </c>
      <c r="B4" s="16" t="s">
        <v>191</v>
      </c>
      <c r="C4" s="19" t="s">
        <v>192</v>
      </c>
      <c r="D4" s="19" t="s">
        <v>193</v>
      </c>
      <c r="E4" s="16" t="s">
        <v>194</v>
      </c>
    </row>
    <row r="5" customFormat="false" ht="48" hidden="false" customHeight="true" outlineLevel="0" collapsed="false">
      <c r="A5" s="10" t="s">
        <v>195</v>
      </c>
      <c r="B5" s="16" t="s">
        <v>191</v>
      </c>
      <c r="C5" s="19" t="s">
        <v>196</v>
      </c>
      <c r="D5" s="19" t="s">
        <v>197</v>
      </c>
      <c r="E5" s="16" t="s">
        <v>198</v>
      </c>
    </row>
    <row r="6" customFormat="false" ht="48" hidden="false" customHeight="true" outlineLevel="0" collapsed="false">
      <c r="A6" s="10" t="s">
        <v>199</v>
      </c>
      <c r="B6" s="16" t="s">
        <v>200</v>
      </c>
      <c r="C6" s="19" t="s">
        <v>201</v>
      </c>
      <c r="D6" s="19" t="s">
        <v>202</v>
      </c>
      <c r="E6" s="16" t="s">
        <v>203</v>
      </c>
    </row>
    <row r="7" customFormat="false" ht="48" hidden="false" customHeight="true" outlineLevel="0" collapsed="false">
      <c r="A7" s="10" t="s">
        <v>204</v>
      </c>
      <c r="B7" s="16" t="s">
        <v>205</v>
      </c>
      <c r="C7" s="19" t="s">
        <v>206</v>
      </c>
      <c r="D7" s="19" t="s">
        <v>207</v>
      </c>
      <c r="E7" s="16" t="s">
        <v>141</v>
      </c>
    </row>
    <row r="8" customFormat="false" ht="48" hidden="false" customHeight="true" outlineLevel="0" collapsed="false">
      <c r="A8" s="10" t="s">
        <v>208</v>
      </c>
      <c r="B8" s="16" t="s">
        <v>209</v>
      </c>
      <c r="C8" s="19" t="s">
        <v>210</v>
      </c>
      <c r="D8" s="19" t="s">
        <v>211</v>
      </c>
      <c r="E8" s="16" t="s">
        <v>212</v>
      </c>
    </row>
    <row r="9" customFormat="false" ht="48" hidden="false" customHeight="true" outlineLevel="0" collapsed="false">
      <c r="A9" s="10" t="s">
        <v>213</v>
      </c>
      <c r="B9" s="16" t="s">
        <v>214</v>
      </c>
      <c r="C9" s="17" t="s">
        <v>215</v>
      </c>
      <c r="D9" s="17" t="s">
        <v>216</v>
      </c>
      <c r="E9" s="16" t="s">
        <v>212</v>
      </c>
    </row>
    <row r="10" customFormat="false" ht="48" hidden="false" customHeight="true" outlineLevel="0" collapsed="false">
      <c r="A10" s="10" t="s">
        <v>217</v>
      </c>
      <c r="B10" s="16" t="s">
        <v>218</v>
      </c>
      <c r="C10" s="18" t="s">
        <v>219</v>
      </c>
      <c r="D10" s="18" t="s">
        <v>220</v>
      </c>
      <c r="E10" s="16" t="s">
        <v>212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5" min="4" style="0" width="22"/>
  </cols>
  <sheetData>
    <row r="1" customFormat="false" ht="30" hidden="false" customHeight="true" outlineLevel="0" collapsed="false">
      <c r="A1" s="1" t="s">
        <v>221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222</v>
      </c>
      <c r="B2" s="2"/>
      <c r="C2" s="2"/>
      <c r="D2" s="2"/>
      <c r="E2" s="2"/>
    </row>
    <row r="3" customFormat="false" ht="15" hidden="false" customHeight="false" outlineLevel="0" collapsed="false">
      <c r="A3" s="6" t="s">
        <v>223</v>
      </c>
      <c r="B3" s="6" t="s">
        <v>224</v>
      </c>
      <c r="C3" s="6" t="s">
        <v>225</v>
      </c>
      <c r="D3" s="6" t="s">
        <v>226</v>
      </c>
      <c r="E3" s="6" t="s">
        <v>227</v>
      </c>
    </row>
    <row r="4" customFormat="false" ht="43.5" hidden="false" customHeight="true" outlineLevel="0" collapsed="false">
      <c r="A4" s="11" t="s">
        <v>228</v>
      </c>
      <c r="B4" s="10" t="s">
        <v>229</v>
      </c>
      <c r="C4" s="16" t="s">
        <v>230</v>
      </c>
      <c r="D4" s="16" t="s">
        <v>231</v>
      </c>
      <c r="E4" s="16" t="s">
        <v>232</v>
      </c>
    </row>
    <row r="5" customFormat="false" ht="43.5" hidden="false" customHeight="true" outlineLevel="0" collapsed="false">
      <c r="A5" s="11" t="s">
        <v>233</v>
      </c>
      <c r="B5" s="10" t="s">
        <v>234</v>
      </c>
      <c r="C5" s="16" t="s">
        <v>235</v>
      </c>
      <c r="D5" s="16" t="s">
        <v>236</v>
      </c>
      <c r="E5" s="16" t="s">
        <v>237</v>
      </c>
    </row>
    <row r="6" customFormat="false" ht="43.5" hidden="false" customHeight="true" outlineLevel="0" collapsed="false">
      <c r="A6" s="11" t="s">
        <v>71</v>
      </c>
      <c r="B6" s="10" t="s">
        <v>238</v>
      </c>
      <c r="C6" s="16" t="s">
        <v>239</v>
      </c>
      <c r="D6" s="16" t="s">
        <v>240</v>
      </c>
      <c r="E6" s="16" t="s">
        <v>241</v>
      </c>
    </row>
    <row r="7" customFormat="false" ht="43.5" hidden="false" customHeight="true" outlineLevel="0" collapsed="false">
      <c r="A7" s="11" t="s">
        <v>242</v>
      </c>
      <c r="B7" s="10" t="s">
        <v>243</v>
      </c>
      <c r="C7" s="16" t="s">
        <v>244</v>
      </c>
      <c r="D7" s="16" t="s">
        <v>245</v>
      </c>
      <c r="E7" s="16" t="s">
        <v>246</v>
      </c>
    </row>
    <row r="8" customFormat="false" ht="43.5" hidden="false" customHeight="true" outlineLevel="0" collapsed="false">
      <c r="A8" s="11" t="s">
        <v>247</v>
      </c>
      <c r="B8" s="10" t="s">
        <v>248</v>
      </c>
      <c r="C8" s="16" t="s">
        <v>249</v>
      </c>
      <c r="D8" s="16" t="s">
        <v>250</v>
      </c>
      <c r="E8" s="16" t="s">
        <v>251</v>
      </c>
    </row>
    <row r="9" customFormat="false" ht="43.5" hidden="false" customHeight="true" outlineLevel="0" collapsed="false">
      <c r="A9" s="11" t="s">
        <v>87</v>
      </c>
      <c r="B9" s="10" t="s">
        <v>252</v>
      </c>
      <c r="C9" s="16" t="s">
        <v>253</v>
      </c>
      <c r="D9" s="16" t="s">
        <v>254</v>
      </c>
      <c r="E9" s="16" t="s">
        <v>255</v>
      </c>
    </row>
    <row r="10" customFormat="false" ht="43.5" hidden="false" customHeight="true" outlineLevel="0" collapsed="false">
      <c r="A10" s="11" t="s">
        <v>95</v>
      </c>
      <c r="B10" s="10" t="s">
        <v>256</v>
      </c>
      <c r="C10" s="16" t="s">
        <v>257</v>
      </c>
      <c r="D10" s="16" t="s">
        <v>254</v>
      </c>
      <c r="E10" s="16" t="s">
        <v>255</v>
      </c>
    </row>
    <row r="11" customFormat="false" ht="43.5" hidden="false" customHeight="true" outlineLevel="0" collapsed="false">
      <c r="A11" s="11" t="s">
        <v>198</v>
      </c>
      <c r="B11" s="10" t="s">
        <v>258</v>
      </c>
      <c r="C11" s="16" t="s">
        <v>259</v>
      </c>
      <c r="D11" s="16" t="s">
        <v>250</v>
      </c>
      <c r="E11" s="16" t="s">
        <v>232</v>
      </c>
    </row>
    <row r="12" customFormat="false" ht="43.5" hidden="false" customHeight="true" outlineLevel="0" collapsed="false">
      <c r="A12" s="11" t="s">
        <v>260</v>
      </c>
      <c r="B12" s="10" t="s">
        <v>261</v>
      </c>
      <c r="C12" s="16" t="s">
        <v>262</v>
      </c>
      <c r="D12" s="16" t="s">
        <v>263</v>
      </c>
      <c r="E12" s="16" t="s">
        <v>264</v>
      </c>
    </row>
    <row r="13" customFormat="false" ht="43.5" hidden="false" customHeight="true" outlineLevel="0" collapsed="false">
      <c r="A13" s="11" t="s">
        <v>135</v>
      </c>
      <c r="B13" s="10" t="s">
        <v>265</v>
      </c>
      <c r="C13" s="16" t="s">
        <v>266</v>
      </c>
      <c r="D13" s="16" t="s">
        <v>267</v>
      </c>
      <c r="E13" s="16" t="s">
        <v>268</v>
      </c>
    </row>
    <row r="14" customFormat="false" ht="43.5" hidden="false" customHeight="true" outlineLevel="0" collapsed="false">
      <c r="A14" s="11" t="s">
        <v>141</v>
      </c>
      <c r="B14" s="10" t="s">
        <v>269</v>
      </c>
      <c r="C14" s="16" t="s">
        <v>270</v>
      </c>
      <c r="D14" s="16" t="s">
        <v>271</v>
      </c>
      <c r="E14" s="16" t="s">
        <v>272</v>
      </c>
    </row>
    <row r="15" customFormat="false" ht="43.5" hidden="false" customHeight="true" outlineLevel="0" collapsed="false">
      <c r="A15" s="11" t="s">
        <v>149</v>
      </c>
      <c r="B15" s="10" t="s">
        <v>273</v>
      </c>
      <c r="C15" s="16" t="s">
        <v>274</v>
      </c>
      <c r="D15" s="16" t="s">
        <v>250</v>
      </c>
      <c r="E15" s="16" t="s">
        <v>264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6" min="2" style="0" width="15"/>
  </cols>
  <sheetData>
    <row r="1" customFormat="false" ht="30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3.5" hidden="false" customHeight="true" outlineLevel="0" collapsed="false">
      <c r="A3" s="6" t="s">
        <v>49</v>
      </c>
      <c r="B3" s="6" t="s">
        <v>50</v>
      </c>
      <c r="C3" s="6" t="s">
        <v>226</v>
      </c>
      <c r="D3" s="6" t="s">
        <v>227</v>
      </c>
      <c r="E3" s="6" t="s">
        <v>277</v>
      </c>
      <c r="F3" s="6" t="s">
        <v>278</v>
      </c>
      <c r="G3" s="6" t="s">
        <v>279</v>
      </c>
      <c r="H3" s="6" t="s">
        <v>280</v>
      </c>
      <c r="I3" s="6" t="s">
        <v>281</v>
      </c>
      <c r="J3" s="6" t="s">
        <v>282</v>
      </c>
      <c r="K3" s="6" t="s">
        <v>283</v>
      </c>
      <c r="L3" s="6" t="s">
        <v>284</v>
      </c>
      <c r="M3" s="6" t="s">
        <v>285</v>
      </c>
      <c r="N3" s="6" t="s">
        <v>286</v>
      </c>
      <c r="O3" s="6" t="s">
        <v>287</v>
      </c>
      <c r="P3" s="6" t="s">
        <v>288</v>
      </c>
    </row>
    <row r="4" customFormat="false" ht="22.35" hidden="false" customHeight="false" outlineLevel="0" collapsed="false">
      <c r="A4" s="20" t="s">
        <v>289</v>
      </c>
      <c r="B4" s="20" t="s">
        <v>89</v>
      </c>
      <c r="C4" s="20" t="s">
        <v>290</v>
      </c>
      <c r="D4" s="20" t="s">
        <v>291</v>
      </c>
      <c r="E4" s="20" t="s">
        <v>292</v>
      </c>
      <c r="F4" s="20" t="s">
        <v>293</v>
      </c>
      <c r="G4" s="20" t="s">
        <v>294</v>
      </c>
      <c r="H4" s="20" t="s">
        <v>295</v>
      </c>
      <c r="I4" s="20" t="s">
        <v>296</v>
      </c>
      <c r="J4" s="20" t="s">
        <v>297</v>
      </c>
      <c r="K4" s="20" t="s">
        <v>298</v>
      </c>
      <c r="L4" s="20" t="s">
        <v>299</v>
      </c>
      <c r="M4" s="20" t="s">
        <v>300</v>
      </c>
      <c r="N4" s="20" t="s">
        <v>301</v>
      </c>
      <c r="O4" s="20" t="s">
        <v>302</v>
      </c>
      <c r="P4" s="20" t="s">
        <v>303</v>
      </c>
    </row>
    <row r="5" customFormat="false" ht="15" hidden="false" customHeight="false" outlineLevel="0" collapsed="false">
      <c r="A5" s="21" t="s">
        <v>57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customFormat="false" ht="15" hidden="false" customHeight="false" outlineLevel="0" collapsed="false">
      <c r="A6" s="21" t="s">
        <v>65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customFormat="false" ht="15" hidden="false" customHeight="false" outlineLevel="0" collapsed="false">
      <c r="A7" s="21" t="s">
        <v>88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customFormat="false" ht="15" hidden="false" customHeight="false" outlineLevel="0" collapsed="false">
      <c r="A8" s="21" t="s">
        <v>96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customFormat="false" ht="15" hidden="false" customHeight="false" outlineLevel="0" collapsed="false">
      <c r="A9" s="21" t="s">
        <v>105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customFormat="false" ht="15" hidden="false" customHeight="false" outlineLevel="0" collapsed="false">
      <c r="A10" s="21" t="s">
        <v>110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customFormat="false" ht="15" hidden="false" customHeight="false" outlineLevel="0" collapsed="false">
      <c r="A11" s="21" t="s">
        <v>101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customFormat="false" ht="15" hidden="false" customHeight="false" outlineLevel="0" collapsed="false">
      <c r="A12" s="21" t="s">
        <v>115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customFormat="false" ht="15" hidden="false" customHeight="false" outlineLevel="0" collapsed="false">
      <c r="A13" s="21" t="s">
        <v>121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customFormat="false" ht="15" hidden="false" customHeight="false" outlineLevel="0" collapsed="false">
      <c r="A14" s="21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5" hidden="false" customHeight="false" outlineLevel="0" collapsed="false">
      <c r="A15" s="21" t="s">
        <v>142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customFormat="false" ht="15" hidden="false" customHeight="false" outlineLevel="0" collapsed="false">
      <c r="A16" s="21" t="s">
        <v>158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304</v>
      </c>
      <c r="B1" s="1"/>
      <c r="C1" s="1"/>
    </row>
    <row r="2" customFormat="false" ht="15.75" hidden="false" customHeight="true" outlineLevel="0" collapsed="false">
      <c r="A2" s="2" t="s">
        <v>305</v>
      </c>
      <c r="B2" s="2"/>
      <c r="C2" s="2"/>
    </row>
    <row r="3" customFormat="false" ht="15" hidden="false" customHeight="false" outlineLevel="0" collapsed="false">
      <c r="A3" s="23" t="s">
        <v>223</v>
      </c>
      <c r="B3" s="23" t="s">
        <v>306</v>
      </c>
      <c r="C3" s="23" t="s">
        <v>307</v>
      </c>
    </row>
    <row r="4" customFormat="false" ht="15" hidden="false" customHeight="false" outlineLevel="0" collapsed="false">
      <c r="A4" s="11" t="n">
        <v>1</v>
      </c>
      <c r="B4" s="16" t="s">
        <v>308</v>
      </c>
      <c r="C4" s="24" t="s">
        <v>309</v>
      </c>
    </row>
    <row r="5" customFormat="false" ht="15" hidden="false" customHeight="false" outlineLevel="0" collapsed="false">
      <c r="A5" s="11" t="n">
        <v>2</v>
      </c>
      <c r="B5" s="16" t="s">
        <v>310</v>
      </c>
      <c r="C5" s="24" t="s">
        <v>311</v>
      </c>
    </row>
    <row r="6" customFormat="false" ht="15" hidden="false" customHeight="false" outlineLevel="0" collapsed="false">
      <c r="A6" s="11" t="n">
        <v>3</v>
      </c>
      <c r="B6" s="16" t="s">
        <v>312</v>
      </c>
      <c r="C6" s="24" t="s">
        <v>313</v>
      </c>
    </row>
    <row r="7" customFormat="false" ht="15" hidden="false" customHeight="false" outlineLevel="0" collapsed="false">
      <c r="A7" s="11" t="n">
        <v>4</v>
      </c>
      <c r="B7" s="16" t="s">
        <v>314</v>
      </c>
      <c r="C7" s="24" t="s">
        <v>315</v>
      </c>
    </row>
    <row r="8" customFormat="false" ht="15" hidden="false" customHeight="false" outlineLevel="0" collapsed="false">
      <c r="A8" s="11" t="n">
        <v>5</v>
      </c>
      <c r="B8" s="16" t="s">
        <v>316</v>
      </c>
      <c r="C8" s="24" t="s">
        <v>317</v>
      </c>
    </row>
    <row r="9" customFormat="false" ht="15" hidden="false" customHeight="false" outlineLevel="0" collapsed="false">
      <c r="A9" s="11" t="n">
        <v>6</v>
      </c>
      <c r="B9" s="16" t="s">
        <v>318</v>
      </c>
      <c r="C9" s="24" t="s">
        <v>319</v>
      </c>
    </row>
    <row r="10" customFormat="false" ht="23.85" hidden="false" customHeight="false" outlineLevel="0" collapsed="false">
      <c r="A10" s="11" t="n">
        <v>7</v>
      </c>
      <c r="B10" s="16" t="s">
        <v>320</v>
      </c>
      <c r="C10" s="24" t="s">
        <v>321</v>
      </c>
    </row>
    <row r="11" customFormat="false" ht="15" hidden="false" customHeight="false" outlineLevel="0" collapsed="false">
      <c r="A11" s="11" t="n">
        <v>8</v>
      </c>
      <c r="B11" s="16" t="s">
        <v>322</v>
      </c>
      <c r="C11" s="24" t="s">
        <v>323</v>
      </c>
    </row>
    <row r="12" customFormat="false" ht="23.85" hidden="false" customHeight="false" outlineLevel="0" collapsed="false">
      <c r="A12" s="11" t="n">
        <v>9</v>
      </c>
      <c r="B12" s="16" t="s">
        <v>324</v>
      </c>
      <c r="C12" s="24" t="s">
        <v>325</v>
      </c>
    </row>
    <row r="13" customFormat="false" ht="22.35" hidden="false" customHeight="false" outlineLevel="0" collapsed="false">
      <c r="A13" s="11" t="n">
        <v>10</v>
      </c>
      <c r="B13" s="16" t="s">
        <v>326</v>
      </c>
      <c r="C13" s="24" t="s">
        <v>327</v>
      </c>
    </row>
    <row r="14" customFormat="false" ht="22.35" hidden="false" customHeight="false" outlineLevel="0" collapsed="false">
      <c r="A14" s="11" t="n">
        <v>11</v>
      </c>
      <c r="B14" s="16" t="s">
        <v>328</v>
      </c>
      <c r="C14" s="24" t="s">
        <v>329</v>
      </c>
    </row>
    <row r="15" customFormat="false" ht="15" hidden="false" customHeight="false" outlineLevel="0" collapsed="false">
      <c r="A15" s="11" t="n">
        <v>12</v>
      </c>
      <c r="B15" s="16" t="s">
        <v>330</v>
      </c>
      <c r="C15" s="24" t="s">
        <v>331</v>
      </c>
    </row>
    <row r="16" customFormat="false" ht="15" hidden="false" customHeight="false" outlineLevel="0" collapsed="false">
      <c r="A16" s="11" t="n">
        <v>13</v>
      </c>
      <c r="B16" s="16" t="s">
        <v>332</v>
      </c>
      <c r="C16" s="24" t="s">
        <v>333</v>
      </c>
    </row>
    <row r="17" customFormat="false" ht="15" hidden="false" customHeight="false" outlineLevel="0" collapsed="false">
      <c r="A17" s="11" t="n">
        <v>14</v>
      </c>
      <c r="B17" s="16" t="s">
        <v>334</v>
      </c>
      <c r="C17" s="24" t="s">
        <v>335</v>
      </c>
    </row>
    <row r="18" customFormat="false" ht="15" hidden="false" customHeight="false" outlineLevel="0" collapsed="false">
      <c r="A18" s="11" t="n">
        <v>15</v>
      </c>
      <c r="B18" s="16" t="s">
        <v>336</v>
      </c>
      <c r="C18" s="24" t="s">
        <v>337</v>
      </c>
    </row>
    <row r="19" customFormat="false" ht="15" hidden="false" customHeight="false" outlineLevel="0" collapsed="false">
      <c r="A19" s="11" t="n">
        <v>16</v>
      </c>
      <c r="B19" s="16" t="s">
        <v>338</v>
      </c>
      <c r="C19" s="24" t="s">
        <v>339</v>
      </c>
    </row>
    <row r="20" customFormat="false" ht="15" hidden="false" customHeight="false" outlineLevel="0" collapsed="false">
      <c r="A20" s="11" t="n">
        <v>17</v>
      </c>
      <c r="B20" s="16" t="s">
        <v>340</v>
      </c>
      <c r="C20" s="24" t="s">
        <v>341</v>
      </c>
    </row>
    <row r="21" customFormat="false" ht="22.35" hidden="false" customHeight="false" outlineLevel="0" collapsed="false">
      <c r="A21" s="11" t="n">
        <v>18</v>
      </c>
      <c r="B21" s="16" t="s">
        <v>342</v>
      </c>
      <c r="C21" s="24" t="s">
        <v>343</v>
      </c>
    </row>
    <row r="22" customFormat="false" ht="15" hidden="false" customHeight="false" outlineLevel="0" collapsed="false">
      <c r="A22" s="11" t="n">
        <v>19</v>
      </c>
      <c r="B22" s="16" t="s">
        <v>344</v>
      </c>
      <c r="C22" s="24" t="s">
        <v>345</v>
      </c>
    </row>
    <row r="23" customFormat="false" ht="15" hidden="false" customHeight="false" outlineLevel="0" collapsed="false">
      <c r="A23" s="11" t="n">
        <v>20</v>
      </c>
      <c r="B23" s="16" t="s">
        <v>346</v>
      </c>
      <c r="C23" s="24" t="s">
        <v>347</v>
      </c>
    </row>
    <row r="24" customFormat="false" ht="15" hidden="false" customHeight="false" outlineLevel="0" collapsed="false">
      <c r="A24" s="11" t="n">
        <v>21</v>
      </c>
      <c r="B24" s="16" t="s">
        <v>348</v>
      </c>
      <c r="C24" s="24" t="s">
        <v>321</v>
      </c>
    </row>
    <row r="25" customFormat="false" ht="15" hidden="false" customHeight="false" outlineLevel="0" collapsed="false">
      <c r="A25" s="11" t="n">
        <v>22</v>
      </c>
      <c r="B25" s="16" t="s">
        <v>349</v>
      </c>
      <c r="C25" s="24" t="s">
        <v>350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2026-07-23T15:40:20Z</dcterms:created>
  <dc:creator>openpyxl</dc:creator>
  <dc:description/>
  <dc:language>en-US</dc:language>
  <cp:lastModifiedBy/>
  <dcterms:modified xsi:type="dcterms:W3CDTF">2026-07-23T15:40:20Z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